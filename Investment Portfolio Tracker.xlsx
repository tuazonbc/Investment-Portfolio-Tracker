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n\Desktop\Resume &amp; Projects\"/>
    </mc:Choice>
  </mc:AlternateContent>
  <xr:revisionPtr revIDLastSave="0" documentId="13_ncr:1_{E8116D75-F62A-4C4A-B49A-304CA9E8C16E}" xr6:coauthVersionLast="47" xr6:coauthVersionMax="47" xr10:uidLastSave="{00000000-0000-0000-0000-000000000000}"/>
  <bookViews>
    <workbookView xWindow="-98" yWindow="-98" windowWidth="21795" windowHeight="13875" firstSheet="1" activeTab="1" xr2:uid="{7D31977D-748A-4B3E-BD63-837A373815E5}"/>
  </bookViews>
  <sheets>
    <sheet name="Cover Page" sheetId="6" r:id="rId1"/>
    <sheet name="Dashboard" sheetId="2" r:id="rId2"/>
    <sheet name="Transaction Log" sheetId="1" r:id="rId3"/>
    <sheet name="Realized Gains &amp; Losses" sheetId="4" r:id="rId4"/>
    <sheet name="Chart Data Source" sheetId="5" r:id="rId5"/>
  </sheets>
  <definedNames>
    <definedName name="_xlchart.v1.0" hidden="1">Dashboard!$I$6</definedName>
    <definedName name="_xlchart.v1.1" hidden="1">Dashboard!$I$7:$I$22</definedName>
    <definedName name="_xlchart.v1.2" hidden="1">Dashboard!$O$7:$O$22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a="1"/>
  <c r="B4" i="4" a="1"/>
  <c r="B4" i="4" s="1"/>
  <c r="C4" i="4" s="1"/>
  <c r="D30" i="4" a="1"/>
  <c r="D30" i="4" s="1"/>
  <c r="H46" i="1"/>
  <c r="H228" i="1"/>
  <c r="B7" i="2" l="1"/>
  <c r="F7" i="2" s="1"/>
  <c r="E27" i="4"/>
  <c r="G28" i="4"/>
  <c r="C11" i="4"/>
  <c r="E22" i="4"/>
  <c r="F8" i="2"/>
  <c r="G5" i="4"/>
  <c r="G16" i="4"/>
  <c r="F12" i="2"/>
  <c r="F16" i="2"/>
  <c r="E10" i="4"/>
  <c r="F10" i="4" s="1" a="1"/>
  <c r="F10" i="4" s="1"/>
  <c r="G29" i="4"/>
  <c r="E4" i="4"/>
  <c r="C7" i="4"/>
  <c r="C21" i="4"/>
  <c r="D21" i="4" s="1" a="1"/>
  <c r="D21" i="4" s="1"/>
  <c r="C17" i="4"/>
  <c r="D17" i="4" s="1" a="1"/>
  <c r="D17" i="4" s="1"/>
  <c r="C12" i="4"/>
  <c r="D12" i="4" s="1" a="1"/>
  <c r="D12" i="4" s="1"/>
  <c r="C19" i="4"/>
  <c r="D19" i="4" s="1" a="1"/>
  <c r="D19" i="4" s="1"/>
  <c r="C26" i="4"/>
  <c r="E29" i="4"/>
  <c r="F29" i="4" s="1" a="1"/>
  <c r="F29" i="4" s="1"/>
  <c r="E21" i="4"/>
  <c r="F21" i="4" s="1" a="1"/>
  <c r="F21" i="4" s="1"/>
  <c r="E15" i="4"/>
  <c r="F15" i="4" s="1" a="1"/>
  <c r="F15" i="4" s="1"/>
  <c r="E11" i="4"/>
  <c r="F11" i="4" s="1" a="1"/>
  <c r="F11" i="4" s="1"/>
  <c r="G13" i="4"/>
  <c r="G9" i="4"/>
  <c r="F20" i="2"/>
  <c r="F9" i="2"/>
  <c r="E5" i="4"/>
  <c r="F5" i="4" s="1" a="1"/>
  <c r="F5" i="4" s="1"/>
  <c r="E9" i="4"/>
  <c r="F9" i="4" s="1" a="1"/>
  <c r="F9" i="4" s="1"/>
  <c r="G27" i="4"/>
  <c r="D11" i="4" a="1"/>
  <c r="D11" i="4" s="1"/>
  <c r="F22" i="4" a="1"/>
  <c r="F22" i="4" s="1"/>
  <c r="F27" i="4" a="1"/>
  <c r="F27" i="4" s="1"/>
  <c r="G25" i="4"/>
  <c r="C6" i="4"/>
  <c r="D6" i="4" s="1" a="1"/>
  <c r="D6" i="4" s="1"/>
  <c r="C24" i="4"/>
  <c r="D24" i="4" s="1" a="1"/>
  <c r="D24" i="4" s="1"/>
  <c r="C9" i="4"/>
  <c r="C18" i="4"/>
  <c r="D18" i="4" s="1" a="1"/>
  <c r="D18" i="4" s="1"/>
  <c r="C27" i="4"/>
  <c r="E20" i="4"/>
  <c r="F20" i="4" s="1" a="1"/>
  <c r="F20" i="4" s="1"/>
  <c r="E13" i="4"/>
  <c r="F13" i="4" s="1" a="1"/>
  <c r="F13" i="4" s="1"/>
  <c r="E26" i="4"/>
  <c r="F26" i="4" s="1" a="1"/>
  <c r="F26" i="4" s="1"/>
  <c r="G20" i="4"/>
  <c r="G8" i="4"/>
  <c r="G19" i="4"/>
  <c r="D7" i="4" a="1"/>
  <c r="D7" i="4" s="1"/>
  <c r="G7" i="4"/>
  <c r="G17" i="4"/>
  <c r="F13" i="2"/>
  <c r="F17" i="2"/>
  <c r="E6" i="4"/>
  <c r="F6" i="4" s="1" a="1"/>
  <c r="F6" i="4" s="1"/>
  <c r="G24" i="4"/>
  <c r="D27" i="4" a="1"/>
  <c r="D27" i="4" s="1"/>
  <c r="G12" i="4"/>
  <c r="G22" i="4"/>
  <c r="G21" i="4"/>
  <c r="F15" i="2"/>
  <c r="F19" i="2"/>
  <c r="F4" i="4" a="1"/>
  <c r="F4" i="4" s="1"/>
  <c r="D26" i="4" a="1"/>
  <c r="D26" i="4" s="1"/>
  <c r="C14" i="4"/>
  <c r="D14" i="4" s="1" a="1"/>
  <c r="D14" i="4" s="1"/>
  <c r="D7" i="2" a="1"/>
  <c r="D7" i="2" s="1"/>
  <c r="E7" i="2" s="1"/>
  <c r="D4" i="4" a="1"/>
  <c r="D4" i="4" s="1"/>
  <c r="C15" i="4"/>
  <c r="D15" i="4" s="1" a="1"/>
  <c r="D15" i="4" s="1"/>
  <c r="C8" i="4"/>
  <c r="D8" i="4" s="1" a="1"/>
  <c r="D8" i="4" s="1"/>
  <c r="C25" i="4"/>
  <c r="D25" i="4" s="1" a="1"/>
  <c r="D25" i="4" s="1"/>
  <c r="C13" i="4"/>
  <c r="D13" i="4" s="1" a="1"/>
  <c r="D13" i="4" s="1"/>
  <c r="C20" i="4"/>
  <c r="D20" i="4" s="1" a="1"/>
  <c r="D20" i="4" s="1"/>
  <c r="C28" i="4"/>
  <c r="D28" i="4" s="1" a="1"/>
  <c r="D28" i="4" s="1"/>
  <c r="E16" i="4"/>
  <c r="F16" i="4" s="1" a="1"/>
  <c r="F16" i="4" s="1"/>
  <c r="E25" i="4"/>
  <c r="F25" i="4" s="1" a="1"/>
  <c r="F25" i="4" s="1"/>
  <c r="E17" i="4"/>
  <c r="F17" i="4" s="1" a="1"/>
  <c r="F17" i="4" s="1"/>
  <c r="E19" i="4"/>
  <c r="F19" i="4" s="1" a="1"/>
  <c r="F19" i="4" s="1"/>
  <c r="G15" i="4"/>
  <c r="G10" i="4"/>
  <c r="F21" i="2"/>
  <c r="F10" i="2"/>
  <c r="E7" i="4"/>
  <c r="F7" i="4" s="1" a="1"/>
  <c r="F7" i="4" s="1"/>
  <c r="G23" i="4"/>
  <c r="G4" i="4"/>
  <c r="D9" i="4" a="1"/>
  <c r="D9" i="4" s="1"/>
  <c r="G6" i="4"/>
  <c r="G18" i="4"/>
  <c r="F14" i="2"/>
  <c r="F18" i="2"/>
  <c r="E23" i="4"/>
  <c r="F23" i="4" s="1" a="1"/>
  <c r="F23" i="4" s="1"/>
  <c r="C22" i="4"/>
  <c r="D22" i="4" s="1" a="1"/>
  <c r="D22" i="4" s="1"/>
  <c r="C23" i="4"/>
  <c r="D23" i="4" s="1" a="1"/>
  <c r="D23" i="4" s="1"/>
  <c r="C16" i="4"/>
  <c r="D16" i="4" s="1" a="1"/>
  <c r="D16" i="4" s="1"/>
  <c r="C10" i="4"/>
  <c r="D10" i="4" s="1" a="1"/>
  <c r="D10" i="4" s="1"/>
  <c r="C29" i="4"/>
  <c r="D29" i="4" s="1" a="1"/>
  <c r="D29" i="4" s="1"/>
  <c r="C5" i="4"/>
  <c r="D5" i="4" s="1" a="1"/>
  <c r="D5" i="4" s="1"/>
  <c r="E12" i="4"/>
  <c r="F12" i="4" s="1" a="1"/>
  <c r="F12" i="4" s="1"/>
  <c r="E24" i="4"/>
  <c r="F24" i="4" s="1" a="1"/>
  <c r="F24" i="4" s="1"/>
  <c r="E14" i="4"/>
  <c r="F14" i="4" s="1" a="1"/>
  <c r="F14" i="4" s="1"/>
  <c r="E18" i="4"/>
  <c r="F18" i="4" s="1" a="1"/>
  <c r="F18" i="4" s="1"/>
  <c r="E28" i="4"/>
  <c r="F28" i="4" s="1" a="1"/>
  <c r="F28" i="4" s="1"/>
  <c r="G14" i="4"/>
  <c r="G11" i="4"/>
  <c r="F22" i="2"/>
  <c r="F11" i="2"/>
  <c r="E8" i="4"/>
  <c r="F8" i="4" s="1" a="1"/>
  <c r="F8" i="4" s="1"/>
  <c r="G26" i="4"/>
  <c r="D19" i="2" a="1"/>
  <c r="D19" i="2" s="1"/>
  <c r="E19" i="2" s="1"/>
  <c r="J9" i="2" a="1"/>
  <c r="J9" i="2" s="1"/>
  <c r="J8" i="2" a="1"/>
  <c r="J8" i="2" s="1"/>
  <c r="J22" i="2" a="1"/>
  <c r="J22" i="2" s="1"/>
  <c r="J20" i="2" a="1"/>
  <c r="J20" i="2" s="1"/>
  <c r="J19" i="2" a="1"/>
  <c r="J19" i="2" s="1"/>
  <c r="J11" i="2" a="1"/>
  <c r="J11" i="2" s="1"/>
  <c r="J18" i="2" a="1"/>
  <c r="J18" i="2" s="1"/>
  <c r="J17" i="2" a="1"/>
  <c r="J17" i="2" s="1"/>
  <c r="J16" i="2" a="1"/>
  <c r="J16" i="2" s="1"/>
  <c r="J15" i="2" a="1"/>
  <c r="J15" i="2" s="1"/>
  <c r="J14" i="2" a="1"/>
  <c r="J14" i="2" s="1"/>
  <c r="J21" i="2" a="1"/>
  <c r="J21" i="2" s="1"/>
  <c r="J13" i="2" a="1"/>
  <c r="J13" i="2" s="1"/>
  <c r="J12" i="2" a="1"/>
  <c r="J12" i="2" s="1"/>
  <c r="J10" i="2" a="1"/>
  <c r="J10" i="2" s="1"/>
  <c r="G21" i="2" a="1"/>
  <c r="G21" i="2" s="1"/>
  <c r="L21" i="2" s="1" a="1"/>
  <c r="L21" i="2" s="1"/>
  <c r="G7" i="2" a="1"/>
  <c r="G7" i="2" s="1"/>
  <c r="L7" i="2" s="1" a="1"/>
  <c r="L7" i="2" s="1"/>
  <c r="J7" i="2" a="1"/>
  <c r="J7" i="2" s="1"/>
  <c r="D18" i="2" a="1"/>
  <c r="D18" i="2" s="1"/>
  <c r="E18" i="2" s="1"/>
  <c r="D11" i="2" a="1"/>
  <c r="D11" i="2" s="1"/>
  <c r="E11" i="2" s="1"/>
  <c r="K7" i="2" l="1" a="1"/>
  <c r="K7" i="2" s="1"/>
  <c r="E3" i="5" a="1"/>
  <c r="E3" i="5" s="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9" i="1"/>
  <c r="H230" i="1"/>
  <c r="H231" i="1"/>
  <c r="H232" i="1"/>
  <c r="H233" i="1"/>
  <c r="H234" i="1"/>
  <c r="H235" i="1"/>
  <c r="H236" i="1"/>
  <c r="H237" i="1"/>
  <c r="H238" i="1"/>
  <c r="H239" i="1"/>
  <c r="H240" i="1"/>
  <c r="H241" i="1"/>
  <c r="H242" i="1"/>
  <c r="H243" i="1"/>
  <c r="H244" i="1"/>
  <c r="H245" i="1"/>
  <c r="H246" i="1"/>
  <c r="H3" i="1"/>
  <c r="O7" i="2" l="1" a="1"/>
  <c r="O7" i="2" s="1"/>
  <c r="O20" i="2" a="1"/>
  <c r="O20" i="2" s="1"/>
  <c r="O9" i="2" a="1"/>
  <c r="O9" i="2" s="1"/>
  <c r="O13" i="2" a="1"/>
  <c r="O13" i="2" s="1"/>
  <c r="O19" i="2" a="1"/>
  <c r="O19" i="2" s="1"/>
  <c r="O14" i="2" a="1"/>
  <c r="O14" i="2" s="1"/>
  <c r="O8" i="2" a="1"/>
  <c r="O8" i="2" s="1"/>
  <c r="O18" i="2" a="1"/>
  <c r="O18" i="2" s="1"/>
  <c r="O12" i="2" a="1"/>
  <c r="O12" i="2" s="1"/>
  <c r="O17" i="2" a="1"/>
  <c r="O17" i="2" s="1"/>
  <c r="O16" i="2" a="1"/>
  <c r="O16" i="2" s="1"/>
  <c r="O11" i="2" a="1"/>
  <c r="O11" i="2" s="1"/>
  <c r="O22" i="2" a="1"/>
  <c r="O22" i="2" s="1"/>
  <c r="O21" i="2" a="1"/>
  <c r="O21" i="2" s="1"/>
  <c r="O15" i="2" a="1"/>
  <c r="O15" i="2" s="1"/>
  <c r="O10" i="2" a="1"/>
  <c r="O10" i="2" s="1"/>
  <c r="D20" i="2" a="1"/>
  <c r="D20" i="2" s="1"/>
  <c r="E20" i="2" s="1"/>
  <c r="D15" i="2" a="1"/>
  <c r="D15" i="2" s="1"/>
  <c r="E15" i="2" s="1"/>
  <c r="D10" i="2" a="1"/>
  <c r="D10" i="2" s="1"/>
  <c r="E10" i="2" s="1"/>
  <c r="D14" i="2" a="1"/>
  <c r="D14" i="2" s="1"/>
  <c r="E14" i="2" s="1"/>
  <c r="D9" i="2" a="1"/>
  <c r="D9" i="2" s="1"/>
  <c r="E9" i="2" s="1"/>
  <c r="D13" i="2" a="1"/>
  <c r="D13" i="2" s="1"/>
  <c r="E13" i="2" s="1"/>
  <c r="D22" i="2" a="1"/>
  <c r="D22" i="2" s="1"/>
  <c r="E22" i="2" s="1"/>
  <c r="D17" i="2" a="1"/>
  <c r="D17" i="2" s="1"/>
  <c r="E17" i="2" s="1"/>
  <c r="D12" i="2" a="1"/>
  <c r="D12" i="2" s="1"/>
  <c r="E12" i="2" s="1"/>
  <c r="D8" i="2" a="1"/>
  <c r="D8" i="2" s="1"/>
  <c r="E8" i="2" s="1"/>
  <c r="D21" i="2" a="1"/>
  <c r="D21" i="2" s="1"/>
  <c r="E21" i="2" s="1"/>
  <c r="D16" i="2" a="1"/>
  <c r="D16" i="2" s="1"/>
  <c r="E16" i="2" s="1"/>
  <c r="G9" i="2" a="1"/>
  <c r="G9" i="2" s="1"/>
  <c r="L9" i="2" s="1" a="1"/>
  <c r="L9" i="2" s="1"/>
  <c r="G13" i="2" a="1"/>
  <c r="G13" i="2" s="1"/>
  <c r="L13" i="2" s="1" a="1"/>
  <c r="L13" i="2" s="1"/>
  <c r="G20" i="2" a="1"/>
  <c r="G20" i="2" s="1"/>
  <c r="L20" i="2" s="1" a="1"/>
  <c r="L20" i="2" s="1"/>
  <c r="G12" i="2" a="1"/>
  <c r="G12" i="2" s="1"/>
  <c r="L12" i="2" s="1" a="1"/>
  <c r="L12" i="2" s="1"/>
  <c r="G18" i="2" a="1"/>
  <c r="G18" i="2" s="1"/>
  <c r="L18" i="2" s="1" a="1"/>
  <c r="L18" i="2" s="1"/>
  <c r="G10" i="2" a="1"/>
  <c r="G10" i="2" s="1"/>
  <c r="L10" i="2" s="1" a="1"/>
  <c r="L10" i="2" s="1"/>
  <c r="G22" i="2" a="1"/>
  <c r="G22" i="2" s="1"/>
  <c r="L22" i="2" s="1" a="1"/>
  <c r="L22" i="2" s="1"/>
  <c r="G11" i="2" a="1"/>
  <c r="G11" i="2" s="1"/>
  <c r="L11" i="2" s="1" a="1"/>
  <c r="L11" i="2" s="1"/>
  <c r="G17" i="2" a="1"/>
  <c r="G17" i="2" s="1"/>
  <c r="L17" i="2" s="1" a="1"/>
  <c r="L17" i="2" s="1"/>
  <c r="G14" i="2" a="1"/>
  <c r="G14" i="2" s="1"/>
  <c r="L14" i="2" s="1" a="1"/>
  <c r="L14" i="2" s="1"/>
  <c r="G19" i="2" a="1"/>
  <c r="G19" i="2" s="1"/>
  <c r="L19" i="2" s="1" a="1"/>
  <c r="L19" i="2" s="1"/>
  <c r="G16" i="2" a="1"/>
  <c r="G16" i="2" s="1"/>
  <c r="L16" i="2" s="1" a="1"/>
  <c r="L16" i="2" s="1"/>
  <c r="G8" i="2" a="1"/>
  <c r="G8" i="2" s="1"/>
  <c r="L8" i="2" s="1" a="1"/>
  <c r="L8" i="2" s="1"/>
  <c r="G15" i="2" a="1"/>
  <c r="G15" i="2" s="1"/>
  <c r="L15" i="2" s="1" a="1"/>
  <c r="L15" i="2" s="1"/>
  <c r="K15" i="2" l="1" a="1"/>
  <c r="K15" i="2" s="1"/>
  <c r="K14" i="2" a="1"/>
  <c r="K14" i="2" s="1"/>
  <c r="K16" i="2" a="1"/>
  <c r="K16" i="2" s="1"/>
  <c r="K10" i="2" a="1"/>
  <c r="K10" i="2" s="1"/>
  <c r="K22" i="2" a="1"/>
  <c r="K22" i="2" s="1"/>
  <c r="K18" i="2" a="1"/>
  <c r="K18" i="2" s="1"/>
  <c r="K20" i="2" a="1"/>
  <c r="K20" i="2" s="1"/>
  <c r="K9" i="2" a="1"/>
  <c r="K9" i="2" s="1"/>
  <c r="K11" i="2" a="1"/>
  <c r="K11" i="2" s="1"/>
  <c r="K12" i="2" a="1"/>
  <c r="K12" i="2" s="1"/>
  <c r="K17" i="2" a="1"/>
  <c r="K17" i="2" s="1"/>
  <c r="K19" i="2" a="1"/>
  <c r="K19" i="2" s="1"/>
  <c r="K13" i="2" a="1"/>
  <c r="K13" i="2" s="1"/>
  <c r="K21" i="2" a="1"/>
  <c r="K21" i="2" s="1"/>
  <c r="K8" i="2" a="1"/>
  <c r="K8" i="2" s="1"/>
  <c r="H23" i="4"/>
  <c r="H7" i="2"/>
  <c r="B3" i="5" a="1"/>
  <c r="H9" i="2"/>
  <c r="H10" i="2"/>
  <c r="H12" i="2"/>
  <c r="H8" i="2"/>
  <c r="H6" i="4"/>
  <c r="M9" i="2" s="1"/>
  <c r="H10" i="4"/>
  <c r="H8" i="4"/>
  <c r="H14" i="4"/>
  <c r="M13" i="2" s="1"/>
  <c r="H18" i="4"/>
  <c r="H16" i="4"/>
  <c r="M15" i="2" s="1"/>
  <c r="H22" i="4"/>
  <c r="M17" i="2" s="1"/>
  <c r="H7" i="4"/>
  <c r="M10" i="2" s="1"/>
  <c r="H11" i="4"/>
  <c r="M12" i="2" s="1"/>
  <c r="H24" i="4"/>
  <c r="H5" i="4"/>
  <c r="M8" i="2" s="1"/>
  <c r="H15" i="4"/>
  <c r="M14" i="2" s="1"/>
  <c r="H19" i="4"/>
  <c r="H13" i="4"/>
  <c r="H26" i="4"/>
  <c r="M19" i="2" s="1"/>
  <c r="H12" i="4"/>
  <c r="H21" i="4"/>
  <c r="H9" i="4"/>
  <c r="M11" i="2" s="1"/>
  <c r="H20" i="4"/>
  <c r="H25" i="4"/>
  <c r="H17" i="4"/>
  <c r="M16" i="2" s="1"/>
  <c r="H17" i="2"/>
  <c r="H22" i="2"/>
  <c r="H21" i="2"/>
  <c r="H20" i="2"/>
  <c r="H13" i="2"/>
  <c r="H18" i="2"/>
  <c r="H14" i="2"/>
  <c r="H15" i="2"/>
  <c r="H19" i="2"/>
  <c r="H11" i="2"/>
  <c r="H16" i="2"/>
  <c r="P18" i="2" l="1"/>
  <c r="M18" i="2"/>
  <c r="B3" i="5"/>
  <c r="I18" i="2"/>
  <c r="F14" i="5" s="1"/>
  <c r="H4" i="4"/>
  <c r="M7" i="2" s="1"/>
  <c r="M27" i="2"/>
  <c r="I7" i="2"/>
  <c r="I16" i="2"/>
  <c r="F12" i="5" s="1"/>
  <c r="I9" i="2"/>
  <c r="I8" i="2"/>
  <c r="F4" i="5" s="1"/>
  <c r="I14" i="2"/>
  <c r="F10" i="5" s="1"/>
  <c r="I20" i="2"/>
  <c r="F16" i="5" s="1"/>
  <c r="I21" i="2"/>
  <c r="F17" i="5" s="1"/>
  <c r="I22" i="2"/>
  <c r="F18" i="5" s="1"/>
  <c r="I10" i="2"/>
  <c r="F6" i="5" s="1"/>
  <c r="I11" i="2"/>
  <c r="F7" i="5" s="1"/>
  <c r="I13" i="2"/>
  <c r="F9" i="5" s="1"/>
  <c r="I17" i="2"/>
  <c r="C5" i="5" s="1"/>
  <c r="I15" i="2"/>
  <c r="F11" i="5" s="1"/>
  <c r="I19" i="2"/>
  <c r="F15" i="5" s="1"/>
  <c r="I12" i="2"/>
  <c r="F8" i="5" s="1"/>
  <c r="P9" i="2"/>
  <c r="P12" i="2"/>
  <c r="P10" i="2"/>
  <c r="P19" i="2"/>
  <c r="P17" i="2"/>
  <c r="P16" i="2"/>
  <c r="P13" i="2"/>
  <c r="P14" i="2"/>
  <c r="P15" i="2"/>
  <c r="P11" i="2"/>
  <c r="P8" i="2"/>
  <c r="C4" i="5" l="1"/>
  <c r="C6" i="5"/>
  <c r="C3" i="5"/>
  <c r="P7" i="2"/>
  <c r="F3" i="5"/>
  <c r="M28" i="2"/>
  <c r="F13" i="5"/>
  <c r="F5" i="5"/>
  <c r="H28" i="4"/>
  <c r="M21" i="2" s="1"/>
  <c r="H29" i="4"/>
  <c r="M22" i="2" s="1"/>
  <c r="H27" i="4"/>
  <c r="M20" i="2" s="1"/>
  <c r="P22" i="2" l="1"/>
  <c r="P20" i="2"/>
  <c r="P21" i="2"/>
  <c r="M26"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6">
    <bk>
      <extLst>
        <ext uri="{3e2802c4-a4d2-4d8b-9148-e3be6c30e623}">
          <xlrd:rvb i="1"/>
        </ext>
      </extLst>
    </bk>
    <bk>
      <extLst>
        <ext uri="{3e2802c4-a4d2-4d8b-9148-e3be6c30e623}">
          <xlrd:rvb i="3"/>
        </ext>
      </extLst>
    </bk>
    <bk>
      <extLst>
        <ext uri="{3e2802c4-a4d2-4d8b-9148-e3be6c30e623}">
          <xlrd:rvb i="6"/>
        </ext>
      </extLst>
    </bk>
    <bk>
      <extLst>
        <ext uri="{3e2802c4-a4d2-4d8b-9148-e3be6c30e623}">
          <xlrd:rvb i="8"/>
        </ext>
      </extLst>
    </bk>
    <bk>
      <extLst>
        <ext uri="{3e2802c4-a4d2-4d8b-9148-e3be6c30e623}">
          <xlrd:rvb i="10"/>
        </ext>
      </extLst>
    </bk>
    <bk>
      <extLst>
        <ext uri="{3e2802c4-a4d2-4d8b-9148-e3be6c30e623}">
          <xlrd:rvb i="12"/>
        </ext>
      </extLst>
    </bk>
    <bk>
      <extLst>
        <ext uri="{3e2802c4-a4d2-4d8b-9148-e3be6c30e623}">
          <xlrd:rvb i="14"/>
        </ext>
      </extLst>
    </bk>
    <bk>
      <extLst>
        <ext uri="{3e2802c4-a4d2-4d8b-9148-e3be6c30e623}">
          <xlrd:rvb i="17"/>
        </ext>
      </extLst>
    </bk>
    <bk>
      <extLst>
        <ext uri="{3e2802c4-a4d2-4d8b-9148-e3be6c30e623}">
          <xlrd:rvb i="24"/>
        </ext>
      </extLst>
    </bk>
    <bk>
      <extLst>
        <ext uri="{3e2802c4-a4d2-4d8b-9148-e3be6c30e623}">
          <xlrd:rvb i="27"/>
        </ext>
      </extLst>
    </bk>
    <bk>
      <extLst>
        <ext uri="{3e2802c4-a4d2-4d8b-9148-e3be6c30e623}">
          <xlrd:rvb i="29"/>
        </ext>
      </extLst>
    </bk>
    <bk>
      <extLst>
        <ext uri="{3e2802c4-a4d2-4d8b-9148-e3be6c30e623}">
          <xlrd:rvb i="32"/>
        </ext>
      </extLst>
    </bk>
    <bk>
      <extLst>
        <ext uri="{3e2802c4-a4d2-4d8b-9148-e3be6c30e623}">
          <xlrd:rvb i="34"/>
        </ext>
      </extLst>
    </bk>
    <bk>
      <extLst>
        <ext uri="{3e2802c4-a4d2-4d8b-9148-e3be6c30e623}">
          <xlrd:rvb i="36"/>
        </ext>
      </extLst>
    </bk>
    <bk>
      <extLst>
        <ext uri="{3e2802c4-a4d2-4d8b-9148-e3be6c30e623}">
          <xlrd:rvb i="39"/>
        </ext>
      </extLst>
    </bk>
    <bk>
      <extLst>
        <ext uri="{3e2802c4-a4d2-4d8b-9148-e3be6c30e623}">
          <xlrd:rvb i="41"/>
        </ext>
      </extLst>
    </bk>
    <bk>
      <extLst>
        <ext uri="{3e2802c4-a4d2-4d8b-9148-e3be6c30e623}">
          <xlrd:rvb i="43"/>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59"/>
        </ext>
      </extLst>
    </bk>
    <bk>
      <extLst>
        <ext uri="{3e2802c4-a4d2-4d8b-9148-e3be6c30e623}">
          <xlrd:rvb i="61"/>
        </ext>
      </extLst>
    </bk>
    <bk>
      <extLst>
        <ext uri="{3e2802c4-a4d2-4d8b-9148-e3be6c30e623}">
          <xlrd:rvb i="63"/>
        </ext>
      </extLst>
    </bk>
    <bk>
      <extLst>
        <ext uri="{3e2802c4-a4d2-4d8b-9148-e3be6c30e623}">
          <xlrd:rvb i="66"/>
        </ext>
      </extLst>
    </bk>
  </futureMetadata>
  <futureMetadata name="XLDAPR" count="1">
    <bk>
      <extLst>
        <ext uri="{bdbb8cdc-fa1e-496e-a857-3c3f30c029c3}">
          <xda:dynamicArrayProperties fDynamic="1" fCollapsed="0"/>
        </ext>
      </extLst>
    </bk>
  </futureMetadata>
  <cellMetadata count="1">
    <bk>
      <rc t="2" v="0"/>
    </bk>
  </cellMetadata>
  <valueMetadata count="2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valueMetadata>
</metadata>
</file>

<file path=xl/sharedStrings.xml><?xml version="1.0" encoding="utf-8"?>
<sst xmlns="http://schemas.openxmlformats.org/spreadsheetml/2006/main" count="336" uniqueCount="87">
  <si>
    <t>Investment Portfolio Dashboard</t>
  </si>
  <si>
    <t>Date</t>
  </si>
  <si>
    <t>November 18, 2025</t>
  </si>
  <si>
    <t>Prepared By</t>
  </si>
  <si>
    <t>Braeden Tuazon</t>
  </si>
  <si>
    <t>Purpose</t>
  </si>
  <si>
    <t>This tracker monitors a live investment portfolio based on real transaction data from Wealthsimple. It provides a detailed view of holdings, sector exposure, performance (realized &amp; unrealized), and asset allocation. Designed for ongoing analysis and portfolio insights.</t>
  </si>
  <si>
    <t>Data Sources</t>
  </si>
  <si>
    <t>Wealthsimple</t>
  </si>
  <si>
    <t>Key Features</t>
  </si>
  <si>
    <t>Description</t>
  </si>
  <si>
    <t>Live Updates</t>
  </si>
  <si>
    <t>Automatically reflects current portfolio value using real-time market prices</t>
  </si>
  <si>
    <t>Performance Tracking</t>
  </si>
  <si>
    <t>Calculates both realized and unrealized gains/losses</t>
  </si>
  <si>
    <t>Auto-Updated Charts</t>
  </si>
  <si>
    <t>Sector and cap size allocations adjust with new transactions</t>
  </si>
  <si>
    <t>Dividend Logging</t>
  </si>
  <si>
    <t>Tracks dividend income from Wealthsimple payouts</t>
  </si>
  <si>
    <t>Fully Formula-Based</t>
  </si>
  <si>
    <t>No manual edits needed after entering new trades</t>
  </si>
  <si>
    <t>Simple Audit Trail</t>
  </si>
  <si>
    <t>Full history of buys, sells, and dividend activity for reference</t>
  </si>
  <si>
    <t>Workbook Tabs Overview</t>
  </si>
  <si>
    <t>Dashboard</t>
  </si>
  <si>
    <t>Live summary of portfolion performance with charts, allocation breakdowns, and gain/loss metrics</t>
  </si>
  <si>
    <t>Transaction Log</t>
  </si>
  <si>
    <t>Raw data from Wealthsimple trades including buys, sells, dividends, and prices</t>
  </si>
  <si>
    <t>Realized Gains/Losses</t>
  </si>
  <si>
    <t>Summary of lcosed positions, showing profit/loss calculations and dividend impact</t>
  </si>
  <si>
    <t>Chart Data Source</t>
  </si>
  <si>
    <t>Allocation breakdowns by sector and cap size used for visuals</t>
  </si>
  <si>
    <t>Disclaimer: For academic use only. Not intended as financial or investment advice.</t>
  </si>
  <si>
    <t>Individual Holdings</t>
  </si>
  <si>
    <t>Lookup &amp; Calculation Fields</t>
  </si>
  <si>
    <t>Name</t>
  </si>
  <si>
    <t>Sector</t>
  </si>
  <si>
    <t>Market Cap (in Billions)</t>
  </si>
  <si>
    <t>Cap Size</t>
  </si>
  <si>
    <t># of Shares Outstanding</t>
  </si>
  <si>
    <t>Price per Share</t>
  </si>
  <si>
    <t>Total Value</t>
  </si>
  <si>
    <t>Allocation</t>
  </si>
  <si>
    <t>Beta</t>
  </si>
  <si>
    <t>1 Day Return $</t>
  </si>
  <si>
    <t>1 Day Return %</t>
  </si>
  <si>
    <t>Total Gain / Loss</t>
  </si>
  <si>
    <t>Tickers</t>
  </si>
  <si>
    <t>Realized Gains</t>
  </si>
  <si>
    <t>Global Equity ETF</t>
  </si>
  <si>
    <t>US Equity ETF</t>
  </si>
  <si>
    <t>Technology Equity ETF</t>
  </si>
  <si>
    <t>Semiconductors &amp; Semiconductor Equipment</t>
  </si>
  <si>
    <t>Canadian Dividend ETF</t>
  </si>
  <si>
    <t>Consumer Technology / Hardware</t>
  </si>
  <si>
    <t>Consumer Discretionary / E-Commerce &amp; Retail</t>
  </si>
  <si>
    <t>Banking Services</t>
  </si>
  <si>
    <t>Oil &amp; Gas Midstream / Pipelines</t>
  </si>
  <si>
    <t>Utilities &amp; Power Generation</t>
  </si>
  <si>
    <t>Global Growth / Innovation ETF</t>
  </si>
  <si>
    <t>Nuclear Energy / Energy Technology</t>
  </si>
  <si>
    <t>Money Market ETF</t>
  </si>
  <si>
    <t>Passenger Transportation / Airlines</t>
  </si>
  <si>
    <t>Freight &amp; Logistics Services</t>
  </si>
  <si>
    <t>Canadian Equity ETF</t>
  </si>
  <si>
    <t>Portfolio Performance Summary</t>
  </si>
  <si>
    <t>Portfolio Summary</t>
  </si>
  <si>
    <t>Total Gain/Loss $</t>
  </si>
  <si>
    <t>Daily Gain/Loss $</t>
  </si>
  <si>
    <t>Daily Gain/Loss %</t>
  </si>
  <si>
    <t>Stock Ticker</t>
  </si>
  <si>
    <t>Transaction</t>
  </si>
  <si>
    <t>Quantity</t>
  </si>
  <si>
    <t>Price</t>
  </si>
  <si>
    <t>Dividend</t>
  </si>
  <si>
    <t>Total Amount</t>
  </si>
  <si>
    <t>BUY</t>
  </si>
  <si>
    <t>DIV</t>
  </si>
  <si>
    <t>SELL</t>
  </si>
  <si>
    <t>Purchases</t>
  </si>
  <si>
    <t>Sales</t>
  </si>
  <si>
    <t>Dividends Received</t>
  </si>
  <si>
    <t>Realized Gain/(Loss) $</t>
  </si>
  <si>
    <t>Stock</t>
  </si>
  <si>
    <t xml:space="preserve"># of Shares </t>
  </si>
  <si>
    <t># of Shares</t>
  </si>
  <si>
    <t>Allocation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</si>
</sst>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164" formatCode="_-[$$-1009]* #,##0_-;\-[$$-1009]* #,##0_-;_-[$$-1009]* &quot;-&quot;_-;_-@_-"/>
    <numFmt numFmtId="165" formatCode="_-[$$-1009]* #,##0.00_-;\-[$$-1009]* #,##0.00_-;_-[$$-1009]* &quot;-&quot;??_-;_-@_-"/>
    <numFmt numFmtId="166" formatCode="&quot;$&quot;#,##0.00;\(&quot;$&quot;#,##0.00\)"/>
    <numFmt numFmtId="167" formatCode="#,##0.0000"/>
    <numFmt numFmtId="168" formatCode="&quot;$&quot;* #,##0.00_);&quot;$&quot;* \(#,##0.00\);&quot;$&quot;* &quot;-&quot;"/>
    <numFmt numFmtId="169" formatCode="0.00%;\(0.00%\)"/>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Display"/>
      <family val="2"/>
      <scheme val="major"/>
    </font>
    <font>
      <sz val="11"/>
      <color rgb="FFFF0000"/>
      <name val="Aptos Narrow"/>
      <family val="2"/>
      <scheme val="minor"/>
    </font>
    <font>
      <sz val="11"/>
      <color theme="1"/>
      <name val="Aptos Display"/>
      <family val="2"/>
      <scheme val="major"/>
    </font>
    <font>
      <b/>
      <sz val="27"/>
      <color theme="1"/>
      <name val="Aptos Display"/>
      <family val="2"/>
      <scheme val="major"/>
    </font>
    <font>
      <b/>
      <sz val="20"/>
      <color theme="1"/>
      <name val="Aptos Narrow"/>
      <family val="2"/>
      <scheme val="minor"/>
    </font>
    <font>
      <b/>
      <u/>
      <sz val="11"/>
      <color theme="1"/>
      <name val="Aptos Narrow"/>
      <family val="2"/>
      <scheme val="minor"/>
    </font>
    <font>
      <b/>
      <i/>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8">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thin">
        <color rgb="FF000000"/>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0" fillId="0" borderId="0" applyNumberFormat="0" applyFill="0" applyBorder="0" applyAlignment="0" applyProtection="0"/>
  </cellStyleXfs>
  <cellXfs count="87">
    <xf numFmtId="0" fontId="0" fillId="0" borderId="0" xfId="0"/>
    <xf numFmtId="9" fontId="0" fillId="0" borderId="0" xfId="1" applyFont="1"/>
    <xf numFmtId="9" fontId="0" fillId="0" borderId="4" xfId="1" applyFont="1" applyBorder="1"/>
    <xf numFmtId="9" fontId="0" fillId="0" borderId="0" xfId="1" applyFont="1" applyAlignment="1">
      <alignment horizontal="left" wrapText="1"/>
    </xf>
    <xf numFmtId="44" fontId="0" fillId="0" borderId="0" xfId="0" applyNumberFormat="1"/>
    <xf numFmtId="0" fontId="3" fillId="0" borderId="4" xfId="0" applyFont="1" applyBorder="1" applyAlignment="1">
      <alignment horizontal="center"/>
    </xf>
    <xf numFmtId="0" fontId="3" fillId="0" borderId="2" xfId="0" applyFont="1" applyBorder="1" applyAlignment="1">
      <alignment horizontal="center"/>
    </xf>
    <xf numFmtId="166" fontId="0" fillId="0" borderId="0" xfId="0" applyNumberFormat="1"/>
    <xf numFmtId="0" fontId="0" fillId="0" borderId="0" xfId="1" applyNumberFormat="1" applyFont="1"/>
    <xf numFmtId="44" fontId="0" fillId="0" borderId="0" xfId="1" applyNumberFormat="1" applyFont="1"/>
    <xf numFmtId="44" fontId="0" fillId="0" borderId="0" xfId="2" applyFont="1"/>
    <xf numFmtId="9" fontId="4" fillId="0" borderId="0" xfId="1" applyFont="1"/>
    <xf numFmtId="0" fontId="3" fillId="0" borderId="7" xfId="0" applyFont="1" applyBorder="1" applyAlignment="1">
      <alignment horizontal="center"/>
    </xf>
    <xf numFmtId="0" fontId="0" fillId="0" borderId="14" xfId="0" applyBorder="1"/>
    <xf numFmtId="0" fontId="0" fillId="0" borderId="6" xfId="0" applyBorder="1"/>
    <xf numFmtId="2" fontId="0" fillId="0" borderId="3" xfId="1" applyNumberFormat="1" applyFont="1" applyBorder="1"/>
    <xf numFmtId="2" fontId="0" fillId="0" borderId="0" xfId="1" applyNumberFormat="1" applyFont="1" applyBorder="1"/>
    <xf numFmtId="10" fontId="0" fillId="0" borderId="12" xfId="1" applyNumberFormat="1" applyFont="1" applyBorder="1"/>
    <xf numFmtId="10" fontId="0" fillId="0" borderId="8" xfId="1" applyNumberFormat="1" applyFont="1" applyBorder="1"/>
    <xf numFmtId="14" fontId="0" fillId="0" borderId="0" xfId="0" applyNumberFormat="1"/>
    <xf numFmtId="0" fontId="2" fillId="0" borderId="0" xfId="0" applyFont="1"/>
    <xf numFmtId="10" fontId="0" fillId="0" borderId="0" xfId="0" applyNumberFormat="1"/>
    <xf numFmtId="0" fontId="5" fillId="0" borderId="0" xfId="0" applyFont="1"/>
    <xf numFmtId="0" fontId="5" fillId="0" borderId="0" xfId="0" applyFont="1" applyAlignment="1">
      <alignment horizontal="center"/>
    </xf>
    <xf numFmtId="0" fontId="5" fillId="0" borderId="14" xfId="0" applyFont="1" applyBorder="1"/>
    <xf numFmtId="0" fontId="5" fillId="0" borderId="0" xfId="0" applyFont="1" applyAlignment="1">
      <alignment horizontal="left"/>
    </xf>
    <xf numFmtId="44" fontId="5" fillId="0" borderId="0" xfId="0" applyNumberFormat="1" applyFont="1"/>
    <xf numFmtId="2" fontId="5" fillId="0" borderId="0" xfId="0" applyNumberFormat="1" applyFont="1"/>
    <xf numFmtId="165" fontId="5" fillId="0" borderId="0" xfId="0" applyNumberFormat="1" applyFont="1"/>
    <xf numFmtId="10" fontId="5" fillId="0" borderId="0" xfId="1" applyNumberFormat="1" applyFont="1"/>
    <xf numFmtId="167" fontId="5" fillId="0" borderId="0" xfId="0" applyNumberFormat="1" applyFont="1"/>
    <xf numFmtId="44" fontId="5" fillId="0" borderId="0" xfId="2" applyFont="1"/>
    <xf numFmtId="44" fontId="5" fillId="0" borderId="0" xfId="0" applyNumberFormat="1" applyFont="1" applyAlignment="1">
      <alignment horizontal="center"/>
    </xf>
    <xf numFmtId="0" fontId="5" fillId="0" borderId="6" xfId="0" applyFont="1" applyBorder="1"/>
    <xf numFmtId="164" fontId="5" fillId="0" borderId="0" xfId="0" applyNumberFormat="1" applyFont="1"/>
    <xf numFmtId="0" fontId="5" fillId="0" borderId="11" xfId="0" applyFont="1" applyBorder="1"/>
    <xf numFmtId="0" fontId="5" fillId="0" borderId="13" xfId="0" applyFont="1" applyBorder="1"/>
    <xf numFmtId="168" fontId="5" fillId="0" borderId="0" xfId="0" applyNumberFormat="1" applyFont="1"/>
    <xf numFmtId="168" fontId="5" fillId="0" borderId="7" xfId="0" applyNumberFormat="1" applyFont="1" applyBorder="1"/>
    <xf numFmtId="168" fontId="5" fillId="0" borderId="12" xfId="0" applyNumberFormat="1" applyFont="1" applyBorder="1"/>
    <xf numFmtId="168" fontId="0" fillId="0" borderId="3" xfId="1" applyNumberFormat="1" applyFont="1" applyBorder="1"/>
    <xf numFmtId="168" fontId="0" fillId="0" borderId="0" xfId="1" applyNumberFormat="1" applyFont="1" applyBorder="1"/>
    <xf numFmtId="168" fontId="0" fillId="0" borderId="3" xfId="2" applyNumberFormat="1" applyFont="1" applyBorder="1"/>
    <xf numFmtId="168" fontId="0" fillId="0" borderId="0" xfId="2" applyNumberFormat="1" applyFont="1" applyBorder="1"/>
    <xf numFmtId="0" fontId="0" fillId="2" borderId="5" xfId="0" applyFill="1" applyBorder="1"/>
    <xf numFmtId="0" fontId="0" fillId="2" borderId="7" xfId="0" applyFill="1" applyBorder="1"/>
    <xf numFmtId="9" fontId="0" fillId="2" borderId="5" xfId="1" applyFont="1" applyFill="1" applyBorder="1" applyAlignment="1">
      <alignment horizontal="center"/>
    </xf>
    <xf numFmtId="9" fontId="0" fillId="2" borderId="3" xfId="1" applyFont="1" applyFill="1" applyBorder="1" applyAlignment="1">
      <alignment horizontal="center"/>
    </xf>
    <xf numFmtId="9" fontId="0" fillId="2" borderId="7" xfId="1" applyFont="1" applyFill="1" applyBorder="1" applyAlignment="1">
      <alignment horizontal="center"/>
    </xf>
    <xf numFmtId="9" fontId="0" fillId="0" borderId="0" xfId="1" applyFont="1" applyBorder="1"/>
    <xf numFmtId="9" fontId="0" fillId="0" borderId="3" xfId="1" applyFont="1" applyBorder="1"/>
    <xf numFmtId="10" fontId="0" fillId="0" borderId="0" xfId="1" applyNumberFormat="1" applyFont="1" applyBorder="1"/>
    <xf numFmtId="0" fontId="0" fillId="2" borderId="4" xfId="0" applyFill="1" applyBorder="1"/>
    <xf numFmtId="0" fontId="0" fillId="2" borderId="9" xfId="0" applyFill="1" applyBorder="1"/>
    <xf numFmtId="169" fontId="5" fillId="0" borderId="0" xfId="1" applyNumberFormat="1" applyFont="1"/>
    <xf numFmtId="168" fontId="5" fillId="0" borderId="0" xfId="2" applyNumberFormat="1" applyFont="1" applyBorder="1"/>
    <xf numFmtId="0" fontId="3" fillId="0" borderId="16" xfId="0" applyFont="1" applyBorder="1"/>
    <xf numFmtId="0" fontId="3" fillId="0" borderId="17" xfId="0" applyFont="1" applyBorder="1" applyAlignment="1">
      <alignment horizontal="center"/>
    </xf>
    <xf numFmtId="169" fontId="5" fillId="0" borderId="13" xfId="1" applyNumberFormat="1" applyFont="1" applyBorder="1"/>
    <xf numFmtId="168" fontId="5" fillId="0" borderId="11" xfId="0" applyNumberFormat="1" applyFont="1" applyBorder="1"/>
    <xf numFmtId="168" fontId="5" fillId="0" borderId="13" xfId="2" applyNumberFormat="1" applyFont="1" applyBorder="1"/>
    <xf numFmtId="0" fontId="8" fillId="0" borderId="0" xfId="0" applyFont="1"/>
    <xf numFmtId="0" fontId="0" fillId="0" borderId="0" xfId="0" applyAlignment="1">
      <alignment wrapText="1"/>
    </xf>
    <xf numFmtId="0" fontId="8" fillId="0" borderId="0" xfId="0" applyFont="1" applyAlignment="1">
      <alignment vertical="top"/>
    </xf>
    <xf numFmtId="0" fontId="0" fillId="0" borderId="0" xfId="0" quotePrefix="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9" fillId="0" borderId="0" xfId="0" applyFont="1"/>
    <xf numFmtId="0" fontId="0" fillId="0" borderId="0" xfId="0" applyAlignment="1">
      <alignment vertical="top" wrapText="1"/>
    </xf>
    <xf numFmtId="0" fontId="10" fillId="0" borderId="0" xfId="3" applyAlignment="1">
      <alignment vertical="top"/>
    </xf>
    <xf numFmtId="0" fontId="7" fillId="0" borderId="1" xfId="0" applyFont="1" applyBorder="1" applyAlignment="1">
      <alignment horizontal="center"/>
    </xf>
    <xf numFmtId="0" fontId="3" fillId="2" borderId="4" xfId="0" applyFont="1" applyFill="1" applyBorder="1" applyAlignment="1">
      <alignment horizontal="center"/>
    </xf>
    <xf numFmtId="0" fontId="3" fillId="2" borderId="9" xfId="0" applyFont="1" applyFill="1" applyBorder="1" applyAlignment="1">
      <alignment horizontal="center"/>
    </xf>
    <xf numFmtId="0" fontId="3" fillId="2" borderId="2" xfId="0" applyFont="1" applyFill="1" applyBorder="1" applyAlignment="1">
      <alignment horizontal="center"/>
    </xf>
    <xf numFmtId="0" fontId="6" fillId="2" borderId="5"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8" xfId="0" applyFont="1" applyFill="1" applyBorder="1" applyAlignment="1">
      <alignment horizontal="center" vertical="center"/>
    </xf>
    <xf numFmtId="9" fontId="0" fillId="0" borderId="4" xfId="1" applyFont="1" applyBorder="1" applyAlignment="1">
      <alignment horizontal="center"/>
    </xf>
    <xf numFmtId="9" fontId="0" fillId="0" borderId="2" xfId="1" applyFont="1" applyBorder="1" applyAlignment="1">
      <alignment horizontal="center"/>
    </xf>
    <xf numFmtId="9" fontId="0" fillId="0" borderId="10" xfId="1" applyFont="1" applyBorder="1" applyAlignment="1">
      <alignment horizontal="center" wrapText="1"/>
    </xf>
    <xf numFmtId="9" fontId="0" fillId="0" borderId="15" xfId="1" applyFont="1" applyBorder="1" applyAlignment="1">
      <alignment horizontal="center" wrapText="1"/>
    </xf>
    <xf numFmtId="9" fontId="0" fillId="0" borderId="7" xfId="1" applyFont="1" applyBorder="1" applyAlignment="1">
      <alignment horizontal="center" wrapText="1"/>
    </xf>
    <xf numFmtId="9" fontId="0" fillId="0" borderId="12" xfId="1" applyFont="1" applyBorder="1" applyAlignment="1">
      <alignment horizontal="center" wrapText="1"/>
    </xf>
  </cellXfs>
  <cellStyles count="4">
    <cellStyle name="Currency" xfId="2" builtinId="4"/>
    <cellStyle name="Hyperlink" xfId="3" builtinId="8"/>
    <cellStyle name="Normal" xfId="0" builtinId="0"/>
    <cellStyle name="Percent" xfId="1" builtinId="5"/>
  </cellStyles>
  <dxfs count="11">
    <dxf>
      <font>
        <color rgb="FFFF0000"/>
      </font>
    </dxf>
    <dxf>
      <font>
        <color rgb="FF00B050"/>
      </font>
    </dxf>
    <dxf>
      <font>
        <b val="0"/>
        <i val="0"/>
        <strike val="0"/>
        <condense val="0"/>
        <extend val="0"/>
        <outline val="0"/>
        <shadow val="0"/>
        <u val="none"/>
        <vertAlign val="baseline"/>
        <sz val="11"/>
        <color theme="1"/>
        <name val="Aptos Narrow"/>
        <family val="2"/>
        <scheme val="minor"/>
      </font>
      <numFmt numFmtId="34" formatCode="_-&quot;$&quot;* #,##0.00_-;\-&quot;$&quot;* #,##0.00_-;_-&quot;$&quot;* &quot;-&quot;??_-;_-@_-"/>
    </dxf>
    <dxf>
      <font>
        <b val="0"/>
        <i val="0"/>
        <strike val="0"/>
        <condense val="0"/>
        <extend val="0"/>
        <outline val="0"/>
        <shadow val="0"/>
        <u val="none"/>
        <vertAlign val="baseline"/>
        <sz val="11"/>
        <color theme="1"/>
        <name val="Aptos Narrow"/>
        <family val="2"/>
        <scheme val="minor"/>
      </font>
      <numFmt numFmtId="34" formatCode="_-&quot;$&quot;* #,##0.00_-;\-&quot;$&quot;* #,##0.00_-;_-&quot;$&quot;* &quot;-&quot;??_-;_-@_-"/>
    </dxf>
    <dxf>
      <font>
        <b val="0"/>
        <i val="0"/>
        <strike val="0"/>
        <condense val="0"/>
        <extend val="0"/>
        <outline val="0"/>
        <shadow val="0"/>
        <u val="none"/>
        <vertAlign val="baseline"/>
        <sz val="11"/>
        <color theme="1"/>
        <name val="Aptos Narrow"/>
        <family val="2"/>
        <scheme val="minor"/>
      </font>
      <numFmt numFmtId="34" formatCode="_-&quot;$&quot;* #,##0.00_-;\-&quot;$&quot;* #,##0.00_-;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9" formatCode="yyyy/mm/dd"/>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SupportingPropertyBagStructure" Target="richData/rdsupportingpropertybagstructur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ichStyles" Target="richData/rich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microsoft.com/office/2017/06/relationships/rdRichValue" Target="richData/rdrichvalue.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solidFill>
                <a:latin typeface="+mn-lt"/>
                <a:ea typeface="+mn-ea"/>
                <a:cs typeface="+mn-cs"/>
              </a:defRPr>
            </a:pPr>
            <a:r>
              <a:rPr lang="en-US">
                <a:solidFill>
                  <a:schemeClr val="tx1"/>
                </a:solidFill>
              </a:rPr>
              <a:t>Cap Size Allocation %</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'Chart Data Source'!$C$2</c:f>
              <c:strCache>
                <c:ptCount val="1"/>
                <c:pt idx="0">
                  <c:v>Allocation %</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81BD-4629-B32E-D8EE97DE61CE}"/>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81BD-4629-B32E-D8EE97DE61CE}"/>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81BD-4629-B32E-D8EE97DE61CE}"/>
              </c:ext>
            </c:extLst>
          </c:dPt>
          <c:cat>
            <c:strRef>
              <c:f>'Chart Data Source'!$B$3:$B$5</c:f>
              <c:strCache>
                <c:ptCount val="3"/>
                <c:pt idx="0">
                  <c:v>Large</c:v>
                </c:pt>
                <c:pt idx="1">
                  <c:v>Mid</c:v>
                </c:pt>
                <c:pt idx="2">
                  <c:v>Small</c:v>
                </c:pt>
              </c:strCache>
            </c:strRef>
          </c:cat>
          <c:val>
            <c:numRef>
              <c:f>'Chart Data Source'!$C$3:$C$5</c:f>
              <c:numCache>
                <c:formatCode>0.00%</c:formatCode>
                <c:ptCount val="3"/>
                <c:pt idx="0">
                  <c:v>0.71351308243375566</c:v>
                </c:pt>
                <c:pt idx="1">
                  <c:v>8.1129209396240687E-2</c:v>
                </c:pt>
                <c:pt idx="2">
                  <c:v>5.8030761474519098E-2</c:v>
                </c:pt>
              </c:numCache>
            </c:numRef>
          </c:val>
          <c:extLst>
            <c:ext xmlns:c16="http://schemas.microsoft.com/office/drawing/2014/chart" uri="{C3380CC4-5D6E-409C-BE32-E72D297353CC}">
              <c16:uniqueId val="{00000006-81BD-4629-B32E-D8EE97DE61CE}"/>
            </c:ext>
          </c:extLst>
        </c:ser>
        <c:dLbls>
          <c:showLegendKey val="0"/>
          <c:showVal val="0"/>
          <c:showCatName val="0"/>
          <c:showSerName val="0"/>
          <c:showPercent val="0"/>
          <c:showBubbleSize val="0"/>
        </c:dLbls>
        <c:gapWidth val="100"/>
        <c:axId val="1123953231"/>
        <c:axId val="1123953711"/>
      </c:barChart>
      <c:catAx>
        <c:axId val="1123953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23953711"/>
        <c:auto val="1"/>
        <c:lblAlgn val="ctr"/>
        <c:lblOffset val="100"/>
        <c:noMultiLvlLbl val="0"/>
      </c:catAx>
      <c:valAx>
        <c:axId val="11239537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2395323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solidFill>
                <a:latin typeface="+mn-lt"/>
                <a:ea typeface="+mn-ea"/>
                <a:cs typeface="+mn-cs"/>
              </a:defRPr>
            </a:pPr>
            <a:r>
              <a:rPr lang="en-US" sz="1680" b="1">
                <a:solidFill>
                  <a:schemeClr val="tx1"/>
                </a:solidFill>
              </a:rPr>
              <a:t>Sector Allocation %</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'Chart Data Source'!$F$2</c:f>
              <c:strCache>
                <c:ptCount val="1"/>
                <c:pt idx="0">
                  <c:v>Allocation %</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1BF9-4625-95A4-F2BC690B40D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1BF9-4625-95A4-F2BC690B40D6}"/>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1BF9-4625-95A4-F2BC690B40D6}"/>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1BF9-4625-95A4-F2BC690B40D6}"/>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1BF9-4625-95A4-F2BC690B40D6}"/>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1BF9-4625-95A4-F2BC690B40D6}"/>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1BF9-4625-95A4-F2BC690B40D6}"/>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1BF9-4625-95A4-F2BC690B40D6}"/>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1BF9-4625-95A4-F2BC690B40D6}"/>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1BF9-4625-95A4-F2BC690B40D6}"/>
              </c:ext>
            </c:extLst>
          </c:dPt>
          <c:dPt>
            <c:idx val="1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5-1BF9-4625-95A4-F2BC690B40D6}"/>
              </c:ext>
            </c:extLst>
          </c:dPt>
          <c:dPt>
            <c:idx val="1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7-1BF9-4625-95A4-F2BC690B40D6}"/>
              </c:ext>
            </c:extLst>
          </c:dPt>
          <c:dPt>
            <c:idx val="1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9-1BF9-4625-95A4-F2BC690B40D6}"/>
              </c:ext>
            </c:extLst>
          </c:dPt>
          <c:dPt>
            <c:idx val="1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B-1BF9-4625-95A4-F2BC690B40D6}"/>
              </c:ext>
            </c:extLst>
          </c:dPt>
          <c:dPt>
            <c:idx val="1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D-1BF9-4625-95A4-F2BC690B40D6}"/>
              </c:ext>
            </c:extLst>
          </c:dPt>
          <c:dPt>
            <c:idx val="1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F-1BF9-4625-95A4-F2BC690B40D6}"/>
              </c:ext>
            </c:extLst>
          </c:dPt>
          <c:cat>
            <c:strRef>
              <c:f>'Chart Data Source'!$E$3:$E$18</c:f>
              <c:strCache>
                <c:ptCount val="16"/>
                <c:pt idx="0">
                  <c:v>Global Equity ETF</c:v>
                </c:pt>
                <c:pt idx="1">
                  <c:v>US Equity ETF</c:v>
                </c:pt>
                <c:pt idx="2">
                  <c:v>Technology Equity ETF</c:v>
                </c:pt>
                <c:pt idx="3">
                  <c:v>Semiconductors &amp; Semiconductor Equipment</c:v>
                </c:pt>
                <c:pt idx="4">
                  <c:v>Canadian Dividend ETF</c:v>
                </c:pt>
                <c:pt idx="5">
                  <c:v>Consumer Technology / Hardware</c:v>
                </c:pt>
                <c:pt idx="6">
                  <c:v>Consumer Discretionary / E-Commerce &amp; Retail</c:v>
                </c:pt>
                <c:pt idx="7">
                  <c:v>Banking Services</c:v>
                </c:pt>
                <c:pt idx="8">
                  <c:v>Oil &amp; Gas Midstream / Pipelines</c:v>
                </c:pt>
                <c:pt idx="9">
                  <c:v>Utilities &amp; Power Generation</c:v>
                </c:pt>
                <c:pt idx="10">
                  <c:v>Global Growth / Innovation ETF</c:v>
                </c:pt>
                <c:pt idx="11">
                  <c:v>Nuclear Energy / Energy Technology</c:v>
                </c:pt>
                <c:pt idx="12">
                  <c:v>Money Market ETF</c:v>
                </c:pt>
                <c:pt idx="13">
                  <c:v>Passenger Transportation / Airlines</c:v>
                </c:pt>
                <c:pt idx="14">
                  <c:v>Freight &amp; Logistics Services</c:v>
                </c:pt>
                <c:pt idx="15">
                  <c:v>Canadian Equity ETF</c:v>
                </c:pt>
              </c:strCache>
            </c:strRef>
          </c:cat>
          <c:val>
            <c:numRef>
              <c:f>'Chart Data Source'!$F$3:$F$18</c:f>
              <c:numCache>
                <c:formatCode>0.00%</c:formatCode>
                <c:ptCount val="16"/>
                <c:pt idx="0">
                  <c:v>0.21955716020141655</c:v>
                </c:pt>
                <c:pt idx="1">
                  <c:v>0.39126365618594955</c:v>
                </c:pt>
                <c:pt idx="2">
                  <c:v>4.8114759499259967E-2</c:v>
                </c:pt>
                <c:pt idx="3">
                  <c:v>1.6563827032506424E-2</c:v>
                </c:pt>
                <c:pt idx="4">
                  <c:v>1.9111838101700102E-2</c:v>
                </c:pt>
                <c:pt idx="5">
                  <c:v>2.6608346365926943E-2</c:v>
                </c:pt>
                <c:pt idx="6">
                  <c:v>1.8943750290544459E-2</c:v>
                </c:pt>
                <c:pt idx="7">
                  <c:v>2.0265398398933078E-2</c:v>
                </c:pt>
                <c:pt idx="8">
                  <c:v>2.9535286960107954E-3</c:v>
                </c:pt>
                <c:pt idx="9">
                  <c:v>5.5317667226276093E-3</c:v>
                </c:pt>
                <c:pt idx="10">
                  <c:v>5.8030761474519098E-2</c:v>
                </c:pt>
                <c:pt idx="11">
                  <c:v>4.6418931022915236E-3</c:v>
                </c:pt>
                <c:pt idx="12">
                  <c:v>0.1473269466954846</c:v>
                </c:pt>
                <c:pt idx="13">
                  <c:v>8.3708450726530069E-3</c:v>
                </c:pt>
                <c:pt idx="14">
                  <c:v>4.2089336539126504E-3</c:v>
                </c:pt>
                <c:pt idx="15">
                  <c:v>8.5065885062635942E-3</c:v>
                </c:pt>
              </c:numCache>
            </c:numRef>
          </c:val>
          <c:extLst>
            <c:ext xmlns:c16="http://schemas.microsoft.com/office/drawing/2014/chart" uri="{C3380CC4-5D6E-409C-BE32-E72D297353CC}">
              <c16:uniqueId val="{00000020-1BF9-4625-95A4-F2BC690B40D6}"/>
            </c:ext>
          </c:extLst>
        </c:ser>
        <c:dLbls>
          <c:showLegendKey val="0"/>
          <c:showVal val="0"/>
          <c:showCatName val="0"/>
          <c:showSerName val="0"/>
          <c:showPercent val="0"/>
          <c:showBubbleSize val="0"/>
        </c:dLbls>
        <c:gapWidth val="100"/>
        <c:axId val="1123941711"/>
        <c:axId val="1123942191"/>
      </c:barChart>
      <c:catAx>
        <c:axId val="1123941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23942191"/>
        <c:auto val="1"/>
        <c:lblAlgn val="ctr"/>
        <c:lblOffset val="100"/>
        <c:noMultiLvlLbl val="0"/>
      </c:catAx>
      <c:valAx>
        <c:axId val="11239421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2394171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8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Dashboard!$I$6</c:f>
              <c:strCache>
                <c:ptCount val="1"/>
                <c:pt idx="0">
                  <c:v>Allocation</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FC30-4E8E-BE63-C3B892C1BB19}"/>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FC30-4E8E-BE63-C3B892C1BB19}"/>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FC30-4E8E-BE63-C3B892C1BB19}"/>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FC30-4E8E-BE63-C3B892C1BB19}"/>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FC30-4E8E-BE63-C3B892C1BB19}"/>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FC30-4E8E-BE63-C3B892C1BB19}"/>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FC30-4E8E-BE63-C3B892C1BB19}"/>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FC30-4E8E-BE63-C3B892C1BB19}"/>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FC30-4E8E-BE63-C3B892C1BB19}"/>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FC30-4E8E-BE63-C3B892C1BB19}"/>
              </c:ext>
            </c:extLst>
          </c:dPt>
          <c:dPt>
            <c:idx val="1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5-FC30-4E8E-BE63-C3B892C1BB19}"/>
              </c:ext>
            </c:extLst>
          </c:dPt>
          <c:dPt>
            <c:idx val="1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7-FC30-4E8E-BE63-C3B892C1BB19}"/>
              </c:ext>
            </c:extLst>
          </c:dPt>
          <c:dPt>
            <c:idx val="1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9-FC30-4E8E-BE63-C3B892C1BB19}"/>
              </c:ext>
            </c:extLst>
          </c:dPt>
          <c:dPt>
            <c:idx val="1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B-FC30-4E8E-BE63-C3B892C1BB19}"/>
              </c:ext>
            </c:extLst>
          </c:dPt>
          <c:dPt>
            <c:idx val="1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D-FC30-4E8E-BE63-C3B892C1BB19}"/>
              </c:ext>
            </c:extLst>
          </c:dPt>
          <c:dPt>
            <c:idx val="1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F-FC30-4E8E-BE63-C3B892C1BB19}"/>
              </c:ext>
            </c:extLst>
          </c:dPt>
          <c:cat>
            <c:strRef>
              <c:f>Dashboard!$O$7:$O$22</c:f>
              <c:strCache>
                <c:ptCount val="16"/>
                <c:pt idx="0">
                  <c:v>XEQT</c:v>
                </c:pt>
                <c:pt idx="1">
                  <c:v>VFV</c:v>
                </c:pt>
                <c:pt idx="2">
                  <c:v>TEC</c:v>
                </c:pt>
                <c:pt idx="3">
                  <c:v>NVDA</c:v>
                </c:pt>
                <c:pt idx="4">
                  <c:v>VDY</c:v>
                </c:pt>
                <c:pt idx="5">
                  <c:v>AAPL</c:v>
                </c:pt>
                <c:pt idx="6">
                  <c:v>AMZN</c:v>
                </c:pt>
                <c:pt idx="7">
                  <c:v>RY</c:v>
                </c:pt>
                <c:pt idx="8">
                  <c:v>ENB</c:v>
                </c:pt>
                <c:pt idx="9">
                  <c:v>CPX</c:v>
                </c:pt>
                <c:pt idx="10">
                  <c:v>FINN</c:v>
                </c:pt>
                <c:pt idx="11">
                  <c:v>OKLO</c:v>
                </c:pt>
                <c:pt idx="12">
                  <c:v>ZMMK</c:v>
                </c:pt>
                <c:pt idx="13">
                  <c:v>AC</c:v>
                </c:pt>
                <c:pt idx="14">
                  <c:v>UPS</c:v>
                </c:pt>
                <c:pt idx="15">
                  <c:v>VCN</c:v>
                </c:pt>
              </c:strCache>
            </c:strRef>
          </c:cat>
          <c:val>
            <c:numRef>
              <c:f>Dashboard!$I$7:$I$22</c:f>
              <c:numCache>
                <c:formatCode>0.00%</c:formatCode>
                <c:ptCount val="16"/>
                <c:pt idx="0">
                  <c:v>0.21955716020141655</c:v>
                </c:pt>
                <c:pt idx="1">
                  <c:v>0.39126365618594955</c:v>
                </c:pt>
                <c:pt idx="2">
                  <c:v>4.8114759499259967E-2</c:v>
                </c:pt>
                <c:pt idx="3">
                  <c:v>1.6563827032506424E-2</c:v>
                </c:pt>
                <c:pt idx="4">
                  <c:v>1.9111838101700102E-2</c:v>
                </c:pt>
                <c:pt idx="5">
                  <c:v>2.6608346365926943E-2</c:v>
                </c:pt>
                <c:pt idx="6">
                  <c:v>1.8943750290544459E-2</c:v>
                </c:pt>
                <c:pt idx="7">
                  <c:v>2.0265398398933078E-2</c:v>
                </c:pt>
                <c:pt idx="8">
                  <c:v>2.9535286960107954E-3</c:v>
                </c:pt>
                <c:pt idx="9">
                  <c:v>5.5317667226276093E-3</c:v>
                </c:pt>
                <c:pt idx="10">
                  <c:v>5.8030761474519098E-2</c:v>
                </c:pt>
                <c:pt idx="11">
                  <c:v>4.6418931022915236E-3</c:v>
                </c:pt>
                <c:pt idx="12">
                  <c:v>0.1473269466954846</c:v>
                </c:pt>
                <c:pt idx="13">
                  <c:v>8.3708450726530069E-3</c:v>
                </c:pt>
                <c:pt idx="14">
                  <c:v>4.2089336539126504E-3</c:v>
                </c:pt>
                <c:pt idx="15">
                  <c:v>8.5065885062635942E-3</c:v>
                </c:pt>
              </c:numCache>
            </c:numRef>
          </c:val>
          <c:extLst>
            <c:ext xmlns:c16="http://schemas.microsoft.com/office/drawing/2014/chart" uri="{C3380CC4-5D6E-409C-BE32-E72D297353CC}">
              <c16:uniqueId val="{00000000-0988-4474-B6E9-D643441F4BA8}"/>
            </c:ext>
          </c:extLst>
        </c:ser>
        <c:dLbls>
          <c:showLegendKey val="0"/>
          <c:showVal val="0"/>
          <c:showCatName val="0"/>
          <c:showSerName val="0"/>
          <c:showPercent val="0"/>
          <c:showBubbleSize val="0"/>
        </c:dLbls>
        <c:gapWidth val="100"/>
        <c:axId val="1123946991"/>
        <c:axId val="1123950831"/>
      </c:barChart>
      <c:catAx>
        <c:axId val="1123946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950831"/>
        <c:auto val="1"/>
        <c:lblAlgn val="ctr"/>
        <c:lblOffset val="100"/>
        <c:noMultiLvlLbl val="0"/>
      </c:catAx>
      <c:valAx>
        <c:axId val="1123950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946991"/>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10026</xdr:colOff>
      <xdr:row>24</xdr:row>
      <xdr:rowOff>15039</xdr:rowOff>
    </xdr:from>
    <xdr:to>
      <xdr:col>1</xdr:col>
      <xdr:colOff>2543175</xdr:colOff>
      <xdr:row>35</xdr:row>
      <xdr:rowOff>180974</xdr:rowOff>
    </xdr:to>
    <xdr:graphicFrame macro="">
      <xdr:nvGraphicFramePr>
        <xdr:cNvPr id="2" name="Chart 1">
          <a:extLst>
            <a:ext uri="{FF2B5EF4-FFF2-40B4-BE49-F238E27FC236}">
              <a16:creationId xmlns:a16="http://schemas.microsoft.com/office/drawing/2014/main" id="{EF7228AC-E63E-4039-B704-7CFE132C4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2567804</xdr:colOff>
      <xdr:row>24</xdr:row>
      <xdr:rowOff>10297</xdr:rowOff>
    </xdr:from>
    <xdr:to>
      <xdr:col>5</xdr:col>
      <xdr:colOff>676275</xdr:colOff>
      <xdr:row>66</xdr:row>
      <xdr:rowOff>100884</xdr:rowOff>
    </xdr:to>
    <xdr:graphicFrame macro="">
      <xdr:nvGraphicFramePr>
        <xdr:cNvPr id="4" name="Chart 3">
          <a:extLst>
            <a:ext uri="{FF2B5EF4-FFF2-40B4-BE49-F238E27FC236}">
              <a16:creationId xmlns:a16="http://schemas.microsoft.com/office/drawing/2014/main" id="{1700DBD5-9958-42A4-A941-81B2311EF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705338</xdr:colOff>
      <xdr:row>24</xdr:row>
      <xdr:rowOff>12339</xdr:rowOff>
    </xdr:from>
    <xdr:to>
      <xdr:col>10</xdr:col>
      <xdr:colOff>771391</xdr:colOff>
      <xdr:row>52</xdr:row>
      <xdr:rowOff>6707</xdr:rowOff>
    </xdr:to>
    <xdr:graphicFrame macro="">
      <xdr:nvGraphicFramePr>
        <xdr:cNvPr id="5" name="Chart 4">
          <a:extLst>
            <a:ext uri="{FF2B5EF4-FFF2-40B4-BE49-F238E27FC236}">
              <a16:creationId xmlns:a16="http://schemas.microsoft.com/office/drawing/2014/main" id="{68001F87-00FF-89DB-1D85-9D3C53726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7">
  <rv s="0">
    <v>en-US</v>
    <v>cdzn1h</v>
    <v>268435456</v>
    <v>1</v>
    <v>Powered by Refinitiv</v>
    <v>0</v>
    <v>iShares Core Equity ETF Ptfl (NEOE:XEQT)</v>
    <v>2</v>
    <v>3</v>
    <v>Finance</v>
    <v>4</v>
    <v>40.42</v>
    <v>27.54</v>
    <v>0.94740000000000002</v>
    <v>-0.31</v>
    <v>-7.6959999999999997E-3</v>
    <v>CAD</v>
    <v>NEO Exchange</v>
    <v>NEOE</v>
    <v>1.6000000000000001E-3</v>
    <v>40.28</v>
    <v>ETF</v>
    <v>45996.873467661717</v>
    <v>39.97</v>
    <v>11753419271.67</v>
    <v>iShares Core Equity ETF Ptfl</v>
    <v>40.234999999999999</v>
    <v>40.28</v>
    <v>39.97</v>
    <v>XEQT</v>
    <v>iShares Core Equity ETF Ptfl (NEOE:XEQT)</v>
    <v>77000</v>
  </rv>
  <rv s="1">
    <v>0</v>
  </rv>
  <rv s="0">
    <v>en-US</v>
    <v>cdzhbh</v>
    <v>268435456</v>
    <v>1</v>
    <v>Powered by Refinitiv</v>
    <v>0</v>
    <v>Vanguard S&amp;P 500 Index ETF (NEOE:VFV)</v>
    <v>2</v>
    <v>3</v>
    <v>Finance</v>
    <v>4</v>
    <v>171.53</v>
    <v>121.71</v>
    <v>0.98280000000000001</v>
    <v>-1.18</v>
    <v>-6.9430000000000004E-3</v>
    <v>CAD</v>
    <v>NEO Exchange</v>
    <v>NEOE</v>
    <v>8.9999999999999998E-4</v>
    <v>169.99</v>
    <v>ETF</v>
    <v>45996.874467696092</v>
    <v>168.6</v>
    <v>27770154513.369999</v>
    <v>Vanguard S&amp;P 500 Index ETF</v>
    <v>169.45</v>
    <v>169.96</v>
    <v>168.78</v>
    <v>VFV</v>
    <v>Vanguard S&amp;P 500 Index ETF (NEOE:VFV)</v>
    <v>39444</v>
  </rv>
  <rv s="1">
    <v>2</v>
  </rv>
  <rv s="2">
    <v>https://www.bing.com/financeapi/forcetrigger?t=bq14f2&amp;q=XTSE%3aTEC&amp;form=skydnc</v>
    <v>Learn more on Bing</v>
  </rv>
  <rv s="3">
    <v>en-US</v>
    <v>bq14f2</v>
    <v>268435456</v>
    <v>1</v>
    <v>Powered by Refinitiv</v>
    <v>5</v>
    <v>TD Glo Tech Leaders Index ETF (XTSE:TEC)</v>
    <v>6</v>
    <v>3</v>
    <v>Finance</v>
    <v>7</v>
    <v>56.73</v>
    <v>34.5</v>
    <v>0.96079999999999999</v>
    <v>-0.2</v>
    <v>-3.676E-3</v>
    <v>CAD</v>
    <v>Toronto Stock Exchange</v>
    <v>XTSE</v>
    <v>3.9000000000000003E-3</v>
    <v>54.55</v>
    <v>ETF</v>
    <v>45996.874872685185</v>
    <v>4</v>
    <v>54.1</v>
    <v>3753248843</v>
    <v>TD Glo Tech Leaders Index ETF</v>
    <v>54.4</v>
    <v>54.41</v>
    <v>54.21</v>
    <v>TEC</v>
    <v>TD Glo Tech Leaders Index ETF (XTSE:TEC)</v>
    <v>30952</v>
  </rv>
  <rv s="1">
    <v>5</v>
  </rv>
  <rv s="4">
    <v>en-US</v>
    <v>cftktc</v>
    <v>268435456</v>
    <v>1</v>
    <v>Powered by Refinitiv</v>
    <v>8</v>
    <v>NVIDIA CORPORATION (XTSE:NVDA)</v>
    <v>9</v>
    <v>10</v>
    <v>Finance</v>
    <v>7</v>
    <v>48.37</v>
    <v>20.03</v>
    <v>2.3148</v>
    <v>-0.22</v>
    <v>-5.2759999999999994E-3</v>
    <v>CAD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Toronto Stock Exchange</v>
    <v>XTSE</v>
    <v>XTSE</v>
    <v>2788 San Tomas Expressway, SANTA CLARA, CA, 95051 US</v>
    <v>41.95</v>
    <v>Semiconductors &amp; Semiconductor Equipment</v>
    <v>Stock</v>
    <v>45996.874965277777</v>
    <v>41.14</v>
    <v>4456134000000</v>
    <v>NVIDIA CORPORATION</v>
    <v>NVIDIA CORPORATION</v>
    <v>41.75</v>
    <v>0</v>
    <v>41.7</v>
    <v>41.48</v>
    <v>24300000000</v>
    <v>NVDA</v>
    <v>NVIDIA CORPORATION (XTSE:NVDA)</v>
    <v>670979</v>
    <v>227610050</v>
    <v>1998</v>
  </rv>
  <rv s="1">
    <v>7</v>
  </rv>
  <rv s="0">
    <v>en-US</v>
    <v>cdzgw7</v>
    <v>268435456</v>
    <v>1</v>
    <v>Powered by Refinitiv</v>
    <v>0</v>
    <v>FTSE Canadian HDY Idx ETF (NEOE:VDY)</v>
    <v>2</v>
    <v>3</v>
    <v>Finance</v>
    <v>4</v>
    <v>61.31</v>
    <v>44.07</v>
    <v>0.97899999999999998</v>
    <v>-0.01</v>
    <v>-1.6349999999999999E-4</v>
    <v>CAD</v>
    <v>NEO Exchange</v>
    <v>NEOE</v>
    <v>2.2000000000000001E-3</v>
    <v>61.3</v>
    <v>ETF</v>
    <v>45996.874988923439</v>
    <v>61.08</v>
    <v>5263395481.96</v>
    <v>FTSE Canadian HDY Idx ETF</v>
    <v>61.24</v>
    <v>61.15</v>
    <v>61.14</v>
    <v>VDY</v>
    <v>FTSE Canadian HDY Idx ETF (NEOE:VDY)</v>
    <v>19951</v>
  </rv>
  <rv s="1">
    <v>9</v>
  </rv>
  <rv s="4">
    <v>en-US</v>
    <v>cftp8m</v>
    <v>268435456</v>
    <v>1</v>
    <v>Powered by Refinitiv</v>
    <v>8</v>
    <v>APPLE INC. (XTSE:AAPL)</v>
    <v>9</v>
    <v>10</v>
    <v>Finance</v>
    <v>7</v>
    <v>41.21</v>
    <v>24.64</v>
    <v>1.0902000000000001</v>
    <v>-0.25</v>
    <v>-6.2250000000000005E-3</v>
    <v>CAD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166000</v>
    <v>Toronto Stock Exchange</v>
    <v>XTSE</v>
    <v>XTSE</v>
    <v>One Apple Park Way, CUPERTINO, CA, 95014 US</v>
    <v>40.24</v>
    <v>Computers, Phones &amp; Household Electronics</v>
    <v>Stock</v>
    <v>45996.874583333331</v>
    <v>39.82</v>
    <v>4147722000000</v>
    <v>APPLE INC.</v>
    <v>APPLE INC.</v>
    <v>40.21</v>
    <v>0</v>
    <v>40.159999999999997</v>
    <v>39.909999999999997</v>
    <v>14776350000</v>
    <v>AAPL</v>
    <v>APPLE INC. (XTSE:AAPL)</v>
    <v>73838</v>
    <v>45870650</v>
    <v>1977</v>
  </rv>
  <rv s="1">
    <v>11</v>
  </rv>
  <rv s="4">
    <v>en-US</v>
    <v>cftkf2</v>
    <v>268435456</v>
    <v>1</v>
    <v>Powered by Refinitiv</v>
    <v>8</v>
    <v>AMAZON.COM, INC. (XTSE:AMZN)</v>
    <v>9</v>
    <v>10</v>
    <v>Finance</v>
    <v>7</v>
    <v>30.07</v>
    <v>19.149999999999999</v>
    <v>1.3763000000000001</v>
    <v>0.03</v>
    <v>1.1250000000000001E-3</v>
    <v>CAD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1578000</v>
    <v>Toronto Stock Exchange</v>
    <v>XTSE</v>
    <v>XTSE</v>
    <v>410 Terry Avenue North, SEATTLE, WA, 98109 US</v>
    <v>26.87</v>
    <v>Diversified Retail</v>
    <v>Stock</v>
    <v>45996.8749537037</v>
    <v>26.57</v>
    <v>2449236000000</v>
    <v>AMAZON.COM, INC.</v>
    <v>AMAZON.COM, INC.</v>
    <v>26.78</v>
    <v>0</v>
    <v>26.66</v>
    <v>26.69</v>
    <v>10690220000</v>
    <v>AMZN</v>
    <v>AMAZON.COM, INC. (XTSE:AMZN)</v>
    <v>300749</v>
    <v>44115500</v>
    <v>1996</v>
  </rv>
  <rv s="1">
    <v>13</v>
  </rv>
  <rv s="2">
    <v>https://www.bing.com/financeapi/forcetrigger?t=ab12w7&amp;q=XTSE%3aRY&amp;form=skydnc</v>
    <v>Learn more on Bing</v>
  </rv>
  <rv s="5">
    <v>en-US</v>
    <v>ab12w7</v>
    <v>268435456</v>
    <v>1</v>
    <v>Powered by Refinitiv</v>
    <v>11</v>
    <v>ROYAL BANK OF CANADA (XTSE:RY)</v>
    <v>12</v>
    <v>13</v>
    <v>Finance</v>
    <v>14</v>
    <v>225.47499999999999</v>
    <v>151.25</v>
    <v>1.0034000000000001</v>
    <v>0.66</v>
    <v>0</v>
    <v>2.9459999999999998E-3</v>
    <v>0</v>
    <v>CAD</v>
    <v>Royal Bank of Canada (RBC) is a global financial institution. Its business includes Personal &amp; Commercial Banking, Wealth Management, Capital Markets, and Insurance. The Personal &amp; Commercial Banking comprises its personal banking operations and certain retail investment businesses in Canada, the Caribbean and the United States, as well as its commercial and corporate banking operations in Canada and the Caribbean. Wealth Management provides a full suite of investment, trust and other wealth management solutions for businesses. Capital Markets provides public and private companies, institutional investors, governments and central banks globally with a range of capital markets products and services across its two main business lines: corporate and investment banking and global markets. Insurance offers a range of life, health, home, auto, travel, wealth and reinsurance advice and solutions, as well as creditor and business insurance services to individual, business and group clients.</v>
    <v>96628</v>
    <v>Toronto Stock Exchange</v>
    <v>XTSE</v>
    <v>XTSE</v>
    <v>Royal Bank Plaza, 200 Bay Street, TORONTO, ON, M5J2J5 CA</v>
    <v>225.47499999999999</v>
    <v>Banking Services</v>
    <v>Stock</v>
    <v>45996.888344907406</v>
    <v>15</v>
    <v>223.5</v>
    <v>314633618080</v>
    <v>ROYAL BANK OF CANADA</v>
    <v>ROYAL BANK OF CANADA</v>
    <v>223.76</v>
    <v>15.952299999999999</v>
    <v>224.06</v>
    <v>224.72</v>
    <v>224.72</v>
    <v>1400114000</v>
    <v>RY</v>
    <v>ROYAL BANK OF CANADA (XTSE:RY)</v>
    <v>1840001</v>
    <v>3035920</v>
    <v>1995</v>
  </rv>
  <rv s="1">
    <v>16</v>
  </rv>
  <rv s="2">
    <v>https://creativecommons.org/licenses/by-sa/3.0</v>
    <v>CC BY-SA 3.0</v>
  </rv>
  <rv s="2">
    <v>http://ru.wikipedia.org/wiki/Enbridge</v>
    <v>Wikipedia</v>
  </rv>
  <rv s="6">
    <v>18</v>
    <v>19</v>
  </rv>
  <rv s="7">
    <v>19</v>
    <v>https://www.bing.com/th?id=AMMS_2dff174a9486b673dc917f30af9876c5&amp;qlt=95</v>
    <v>20</v>
    <v>0</v>
    <v>https://www.bing.com/images/search?form=xlimg&amp;q=enbridge</v>
    <v>Image of Enbridge Inc.</v>
  </rv>
  <rv s="2">
    <v>https://www.bing.com/financeapi/forcetrigger?t=aaxzhw&amp;q=XTSE%3aENB&amp;form=skydnc</v>
    <v>Learn more on Bing</v>
  </rv>
  <rv s="8">
    <v>en-US</v>
    <v>aaxzhw</v>
    <v>268435456</v>
    <v>1</v>
    <v>Powered by Refinitiv</v>
    <v>15</v>
    <v>Enbridge Inc. (XTSE:ENB)</v>
    <v>17</v>
    <v>18</v>
    <v>Finance</v>
    <v>14</v>
    <v>70.39</v>
    <v>56.51</v>
    <v>0.82579999999999998</v>
    <v>-0.68</v>
    <v>0</v>
    <v>-1.0109999999999999E-2</v>
    <v>0</v>
    <v>CAD</v>
    <v>Enbridge Inc. is an energy transportation and distribution company. The Company operates through five business segments: Liquids Pipelines, Gas Transmission and Midstream, Gas Distribution and Storage, Renewable Power Generation, and Energy Services. Liquids Pipelines consists of pipelines and terminals in Canada and the United States that transport and export various grades of crude oil and other liquid hydrocarbons. Gas Transmission and Midstream consists of its investments in natural gas pipelines and gathering and processing facilities in Canada and the United States. Gas Distribution and Storage consists of its natural gas utility operations. Renewable Power Generation consists of investments in wind and solar assets, geothermal, waste heat recovery, and transmission assets. Energy Services provides physical commodity marketing, logistics services, and energy marketing services. The Company owns Aitken Creek Gas Storage facility and Aitken Creek North Gas Storage facility.</v>
    <v>14500</v>
    <v>Toronto Stock Exchange</v>
    <v>XTSE</v>
    <v>XTSE</v>
    <v>200, Fifth Avenue Place, 425 - 1st Street S.W, CALGARY, AB, T2P 3L8 CA</v>
    <v>67.23</v>
    <v>21</v>
    <v>Oil &amp; Gas Related Equipment and Services</v>
    <v>Stock</v>
    <v>45996.888333333336</v>
    <v>22</v>
    <v>66.314999999999998</v>
    <v>145229356080</v>
    <v>Enbridge Inc.</v>
    <v>Enbridge Inc.</v>
    <v>67.22</v>
    <v>26.049099999999999</v>
    <v>67.260000000000005</v>
    <v>66.58</v>
    <v>66.58</v>
    <v>2181276000</v>
    <v>ENB</v>
    <v>Enbridge Inc. (XTSE:ENB)</v>
    <v>6170075</v>
    <v>7728240</v>
    <v>1987</v>
  </rv>
  <rv s="1">
    <v>23</v>
  </rv>
  <rv s="2">
    <v>https://www.bing.com/financeapi/forcetrigger?t=aaxlm7&amp;q=XTSE%3aCPX&amp;form=skydnc</v>
    <v>Learn more on Bing</v>
  </rv>
  <rv s="5">
    <v>en-US</v>
    <v>aaxlm7</v>
    <v>268435456</v>
    <v>1</v>
    <v>Powered by Refinitiv</v>
    <v>11</v>
    <v>CAPITAL POWER CORPORATION (XTSE:CPX)</v>
    <v>12</v>
    <v>13</v>
    <v>Finance</v>
    <v>14</v>
    <v>73.8</v>
    <v>41.87</v>
    <v>0.3876</v>
    <v>-0.03</v>
    <v>0</v>
    <v>-4.8090000000000003E-4</v>
    <v>0</v>
    <v>CAD</v>
    <v>Capital Power Corporation is a growth-oriented power producing company. The Company develops, acquires, owns, and operates utility-scale renewable and flexible generation (natural gas generation assets and energy storage) facilities and manages its related electricity and natural gas portfolios by undertaking trading and marketing activities. It is involved in the operation of electrical generation facilities within Canada and in the United States. It has approximately 12 gigawatts (GW) of power generation capacity at 32 facilities across North America. Its La Paloma facility is 1,062 megawatts (MW) combined cycle gas-generation facility located in Kern County, California. The Company operates Harquahala, which is a 1,092 MW combined cycle gas-generation facility located in Maricopa County, Arizona. Hummel is a 1,124 MW combined cycle flexible generation facility located in Shamokin Dam, Pennsylvania. Joffre Cogeneration is a 480 MW natural gas-fired combined-cycle generation facility.</v>
    <v>741</v>
    <v>Toronto Stock Exchange</v>
    <v>XTSE</v>
    <v>XTSE</v>
    <v>1200-10423 101 St NW, EDMONTON, AB, T5H 0E9 CA</v>
    <v>63.094999999999999</v>
    <v>Electrical Utilities &amp; IPPs</v>
    <v>Stock</v>
    <v>45996.875</v>
    <v>25</v>
    <v>62.03</v>
    <v>9720957325</v>
    <v>CAPITAL POWER CORPORATION</v>
    <v>CAPITAL POWER CORPORATION</v>
    <v>62.39</v>
    <v>22.281500000000001</v>
    <v>62.38</v>
    <v>62.35</v>
    <v>62.35</v>
    <v>155909500</v>
    <v>CPX</v>
    <v>CAPITAL POWER CORPORATION (XTSE:CPX)</v>
    <v>549931</v>
    <v>614360</v>
    <v>2009</v>
  </rv>
  <rv s="1">
    <v>26</v>
  </rv>
  <rv s="9">
    <v>en-US</v>
    <v>cdm5xm</v>
    <v>268435456</v>
    <v>1</v>
    <v>Powered by Refinitiv</v>
    <v>20</v>
    <v>Fidelity Gl Innovators ETF (NEOE:FINN)</v>
    <v>2</v>
    <v>21</v>
    <v>Finance</v>
    <v>4</v>
    <v>24.61</v>
    <v>14.92</v>
    <v>-0.11</v>
    <v>-4.6870000000000002E-3</v>
    <v>CAD</v>
    <v>NEO Exchange</v>
    <v>NEOE</v>
    <v>1.0800000000000001E-2</v>
    <v>23.6</v>
    <v>ETF</v>
    <v>45996.874994224221</v>
    <v>23.31</v>
    <v>1466567554.51</v>
    <v>Fidelity Gl Innovators ETF</v>
    <v>23.5</v>
    <v>23.47</v>
    <v>23.36</v>
    <v>FINN</v>
    <v>Fidelity Gl Innovators ETF (NEOE:FINN)</v>
    <v>159061</v>
  </rv>
  <rv s="1">
    <v>28</v>
  </rv>
  <rv s="2">
    <v>https://www.bing.com/financeapi/forcetrigger?t=c2m6c7&amp;q=XNYS%3aALCC&amp;form=skydnc</v>
    <v>Learn more on Bing</v>
  </rv>
  <rv s="5">
    <v>en-US</v>
    <v>c2m6c7</v>
    <v>268435456</v>
    <v>1</v>
    <v>Powered by Refinitiv</v>
    <v>11</v>
    <v>OKLO INC. (XNYS:OKLO)</v>
    <v>12</v>
    <v>22</v>
    <v>Finance</v>
    <v>23</v>
    <v>193.84</v>
    <v>17.14</v>
    <v>0.73540000000000005</v>
    <v>-7.01</v>
    <v>1.5840000000000001E-3</v>
    <v>-6.2785000000000007E-2</v>
    <v>0.1658</v>
    <v>USD</v>
    <v>Oklo Inc. is an advanced nuclear technology company. The Company is engaged in developing fast fission power plants to provide clean, reliable, and affordable energy at scale. It is developing advanced fuel recycling technologies in collaboration with the United States Department of Energy and United States National Laboratories. It provides 24/7 clean energy to data centers, factories, industrial sites, communities, and defense facilities. It offers heat and power through power purchase agreements. Its powerhouse product line, Aurora, is designed to be inherently safe, to be able to run on fresh or recycled fuel, and to produce 15-50 megawatts electric (MWe) and with the potential to expand powerhouse size to produce 100 MWe of electricity. The Company intends to develop specialized radioisotope production capabilities to address urgent supply shortages in life-saving medical radioisotopes and advanced industrial applications.</v>
    <v>113</v>
    <v>New York Stock Exchange</v>
    <v>XNYS</v>
    <v>XNYS</v>
    <v>640 Fifth Avenue, 12th Floor, NEW YORK, NY, 10019 US</v>
    <v>107.59</v>
    <v>Electrical Utilities &amp; IPPs</v>
    <v>Stock</v>
    <v>45996.954229131246</v>
    <v>30</v>
    <v>100.51</v>
    <v>16349696544</v>
    <v>OKLO INC.</v>
    <v>OKLO INC.</v>
    <v>105.985</v>
    <v>24.930900000000001</v>
    <v>111.65</v>
    <v>104.64</v>
    <v>104.83580000000001</v>
    <v>156247100</v>
    <v>OKLO</v>
    <v>OKLO INC. (XNYS:OKLO)</v>
    <v>14553222</v>
    <v>13630897</v>
    <v>2021</v>
  </rv>
  <rv s="1">
    <v>31</v>
  </rv>
  <rv s="10">
    <v>en-US</v>
    <v>cdz4f2</v>
    <v>268435456</v>
    <v>1</v>
    <v>Powered by Refinitiv</v>
    <v>24</v>
    <v>BMO Money Market ETF Series (NEOE:ZMMK)</v>
    <v>2</v>
    <v>25</v>
    <v>Finance</v>
    <v>4</v>
    <v>50.064900000000002</v>
    <v>49.82</v>
    <v>0</v>
    <v>0</v>
    <v>CAD</v>
    <v>NEO Exchange</v>
    <v>NEOE</v>
    <v>1.2999999999999999E-3</v>
    <v>49.85</v>
    <v>ETF</v>
    <v>45996.874985740622</v>
    <v>49.84</v>
    <v>BMO Money Market ETF Series</v>
    <v>49.85</v>
    <v>49.85</v>
    <v>49.85</v>
    <v>ZMMK</v>
    <v>BMO Money Market ETF Series (NEOE:ZMMK)</v>
    <v>167248</v>
  </rv>
  <rv s="1">
    <v>33</v>
  </rv>
  <rv s="11">
    <v>en-US</v>
    <v>cdnww7</v>
    <v>268435456</v>
    <v>1</v>
    <v>Powered by Refinitiv</v>
    <v>26</v>
    <v>AIR CANADA (NEOE:AC)</v>
    <v>9</v>
    <v>27</v>
    <v>Finance</v>
    <v>4</v>
    <v>26.17</v>
    <v>12.69</v>
    <v>1.7181999999999999</v>
    <v>-0.12</v>
    <v>-6.319E-3</v>
    <v>CAD</v>
    <v>Air Canada is an airline company. The Company is a provider of scheduled passenger services in the Canadian market, the Canada-United States (U.S.) transborder market and the international market to and from Canada. It provides scheduled service directly to more than 180 airports in Canada, the United States and internationally on six continents. The Company’s Aeroplan program is Canada's premier travel loyalty program, where members can earn or redeem points on the airline partner network of 45 airlines, plus through a range of merchandise, hotel and car rental rewards. Its freight division, Air Canada Cargo, provides air freight lift and connectivity to hundreds of destinations across six continents using its passenger and freighter aircraft. Air Canada Vacations is a tour operator which is engaged in developing, marketing, and distributing vacation travel packages in the outbound/inbound leisure travel market. Air Canada Rouge is Air Canada's leisure carrier.</v>
    <v>37200</v>
    <v>NEO Exchange</v>
    <v>NEOE</v>
    <v>NEOE</v>
    <v>Air Canada Centre, 7373 Cte Vertu, Boulevard West, SAINT-LAURENT, QC, H4S1Z3 CA</v>
    <v>19.07</v>
    <v>Passenger Transportation Services</v>
    <v>Stock</v>
    <v>45996.874895000001</v>
    <v>18.64</v>
    <v>5627854000</v>
    <v>AIR CANADA</v>
    <v>AIR CANADA</v>
    <v>19</v>
    <v>18.989999999999998</v>
    <v>18.87</v>
    <v>296202900</v>
    <v>AC</v>
    <v>AIR CANADA (NEOE:AC)</v>
    <v>130598</v>
    <v>2091360</v>
    <v>2006</v>
  </rv>
  <rv s="1">
    <v>35</v>
  </rv>
  <rv s="2">
    <v>https://www.bing.com/financeapi/forcetrigger?t=a24ynm&amp;q=XNYS%3aUPS&amp;form=skydnc</v>
    <v>Learn more on Bing</v>
  </rv>
  <rv s="5">
    <v>en-US</v>
    <v>a24ynm</v>
    <v>268435456</v>
    <v>1</v>
    <v>Powered by Refinitiv</v>
    <v>11</v>
    <v>UNITED PARCEL SERVICE, INC. (XNYS:UPS)</v>
    <v>12</v>
    <v>22</v>
    <v>Finance</v>
    <v>23</v>
    <v>136.99</v>
    <v>82</v>
    <v>1.1020000000000001</v>
    <v>0.12</v>
    <v>9.4869999999999991E-4</v>
    <v>1.266E-3</v>
    <v>0.09</v>
    <v>USD</v>
    <v>United Parcel Service, Inc. provides a range of integrated logistics solutions for customers in more than 200 countries and territories. Its U.S. Domestic Package segment offers a range of United States domestic air and ground package transportation services. Its air portfolio offers time-definite, same-day, next-day, two-day and three-day delivery alternatives as well as air cargo services. Its ground network enables customers to ship using its day-definite ground service. UPS SurePost provides residential ground service for customers with non-urgent, lightweight residential shipments. Its International Package segment consists of small package operations in Europe, Indian sub-continent, Middle East and Africa, Canada and Latin America and Asia. It offers a selection of guaranteed day- and time-definite international shipping services. Its supply chain solutions consist of forwarding, logistics, customized third-party logistics and specialized cold chain transportation solutions.</v>
    <v>490000</v>
    <v>New York Stock Exchange</v>
    <v>XNYS</v>
    <v>XNYS</v>
    <v>55 Glenlake Parkway Ne, ATLANTA, GA, 30328 US</v>
    <v>95.85</v>
    <v>Freight &amp; Logistics Services</v>
    <v>Stock</v>
    <v>45996.951902499997</v>
    <v>37</v>
    <v>94.575000000000003</v>
    <v>80494825728</v>
    <v>UNITED PARCEL SERVICE, INC.</v>
    <v>UNITED PARCEL SERVICE, INC.</v>
    <v>95</v>
    <v>14.6617</v>
    <v>94.76</v>
    <v>94.88</v>
    <v>94.96</v>
    <v>848385600</v>
    <v>UPS</v>
    <v>UNITED PARCEL SERVICE, INC. (XNYS:UPS)</v>
    <v>5521891</v>
    <v>6719421</v>
    <v>1999</v>
  </rv>
  <rv s="1">
    <v>38</v>
  </rv>
  <rv s="0">
    <v>en-US</v>
    <v>cdzgnm</v>
    <v>268435456</v>
    <v>1</v>
    <v>Powered by Refinitiv</v>
    <v>0</v>
    <v>Vanguard FTSE Cn AC Idx ETF (NEOE:VCN)</v>
    <v>2</v>
    <v>3</v>
    <v>Finance</v>
    <v>4</v>
    <v>64.38</v>
    <v>45.54</v>
    <v>0.99919999999999998</v>
    <v>-0.37</v>
    <v>-5.7549999999999997E-3</v>
    <v>CAD</v>
    <v>NEO Exchange</v>
    <v>NEOE</v>
    <v>5.9999999999999995E-4</v>
    <v>64.38</v>
    <v>ETF</v>
    <v>45996.868059687498</v>
    <v>63.87</v>
    <v>12348752412.17</v>
    <v>Vanguard FTSE Cn AC Idx ETF</v>
    <v>64.239999999999995</v>
    <v>64.290000000000006</v>
    <v>63.92</v>
    <v>VCN</v>
    <v>Vanguard FTSE Cn AC Idx ETF (NEOE:VCN)</v>
    <v>38158</v>
  </rv>
  <rv s="1">
    <v>40</v>
  </rv>
  <rv s="0">
    <v>en-US</v>
    <v>cdzmp2</v>
    <v>268435456</v>
    <v>1</v>
    <v>Powered by Refinitiv</v>
    <v>0</v>
    <v>IShares S&amp;P/TSX Cm HiDivIx ETF (NEOE:XEI)</v>
    <v>2</v>
    <v>3</v>
    <v>Finance</v>
    <v>4</v>
    <v>32.43</v>
    <v>24.48</v>
    <v>0.90690000000000004</v>
    <v>-7.0000000000000007E-2</v>
    <v>-2.1649999999999998E-3</v>
    <v>CAD</v>
    <v>NEO Exchange</v>
    <v>NEOE</v>
    <v>2.2000000000000001E-3</v>
    <v>32.369999999999997</v>
    <v>ETF</v>
    <v>45996.874660034373</v>
    <v>32.25</v>
    <v>2677303959.3800001</v>
    <v>IShares S&amp;P/TSX Cm HiDivIx ETF</v>
    <v>32.35</v>
    <v>32.33</v>
    <v>32.26</v>
    <v>XEI</v>
    <v>IShares S&amp;P/TSX Cm HiDivIx ETF (NEOE:XEI)</v>
    <v>45527</v>
  </rv>
  <rv s="1">
    <v>42</v>
  </rv>
  <rv s="9">
    <v>en-US</v>
    <v>cdwwlh</v>
    <v>268435456</v>
    <v>1</v>
    <v>Powered by Refinitiv</v>
    <v>20</v>
    <v>Global X High Interest Savings (NEOE:CASH)</v>
    <v>2</v>
    <v>21</v>
    <v>Finance</v>
    <v>4</v>
    <v>50.13</v>
    <v>49.97</v>
    <v>0.01</v>
    <v>2.0000000000000001E-4</v>
    <v>CAD</v>
    <v>NEO Exchange</v>
    <v>NEOE</v>
    <v>1.1000000000000001E-3</v>
    <v>50</v>
    <v>ETF</v>
    <v>45996.873908541405</v>
    <v>50</v>
    <v>6774843171</v>
    <v>Global X High Interest Savings</v>
    <v>50</v>
    <v>49.99</v>
    <v>50</v>
    <v>CASH</v>
    <v>Global X High Interest Savings (NEOE:CASH)</v>
    <v>309058</v>
  </rv>
  <rv s="1">
    <v>44</v>
  </rv>
  <rv s="2">
    <v>https://www.bing.com/financeapi/forcetrigger?t=aax5gh&amp;q=XTSE%3aBMO&amp;form=skydnc</v>
    <v>Learn more on Bing</v>
  </rv>
  <rv s="5">
    <v>en-US</v>
    <v>aax5gh</v>
    <v>268435456</v>
    <v>1</v>
    <v>Powered by Refinitiv</v>
    <v>11</v>
    <v>BANK OF MONTREAL (XTSE:BMO)</v>
    <v>12</v>
    <v>13</v>
    <v>Finance</v>
    <v>14</v>
    <v>182.9</v>
    <v>121.31</v>
    <v>1.22</v>
    <v>1.42</v>
    <v>0</v>
    <v>8.0309999999999999E-3</v>
    <v>0</v>
    <v>CAD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53000</v>
    <v>Toronto Stock Exchange</v>
    <v>XTSE</v>
    <v>XTSE</v>
    <v>1 First Canadian Place, TORONTO, ON, M5X 1A1 CA</v>
    <v>179.57</v>
    <v>Banking Services</v>
    <v>Stock</v>
    <v>45996.875</v>
    <v>46</v>
    <v>177.02</v>
    <v>126840824256</v>
    <v>BANK OF MONTREAL</v>
    <v>BANK OF MONTREAL</v>
    <v>177.21</v>
    <v>15.577</v>
    <v>176.82</v>
    <v>178.24</v>
    <v>178.24</v>
    <v>711629400</v>
    <v>BMO</v>
    <v>BANK OF MONTREAL (XTSE:BMO)</v>
    <v>2410582</v>
    <v>1954800</v>
    <v>1995</v>
  </rv>
  <rv s="1">
    <v>47</v>
  </rv>
  <rv s="2">
    <v>https://www.bing.com/financeapi/forcetrigger?t=c5x5u2&amp;q=NEOE%3aCJP&amp;form=skydnc</v>
    <v>Learn more on Bing</v>
  </rv>
  <rv s="3">
    <v>en-US</v>
    <v>c5x5u2</v>
    <v>268435456</v>
    <v>1</v>
    <v>Powered by Refinitiv</v>
    <v>28</v>
    <v>iShares Jpn Fdtl Idx ETF (C-H) (NEOE:CJP)</v>
    <v>6</v>
    <v>3</v>
    <v>Finance</v>
    <v>4</v>
    <v>36.299999999999997</v>
    <v>22.65</v>
    <v>0.61870000000000003</v>
    <v>0.18</v>
    <v>4.9959999999999996E-3</v>
    <v>CAD</v>
    <v>NEO Exchange</v>
    <v>NEOE</v>
    <v>7.1999999999999998E-3</v>
    <v>36.29</v>
    <v>ETF</v>
    <v>45996.865794235935</v>
    <v>49</v>
    <v>36.15</v>
    <v>113033601.62</v>
    <v>iShares Jpn Fdtl Idx ETF (C-H)</v>
    <v>36.26</v>
    <v>36.03</v>
    <v>36.21</v>
    <v>CJP</v>
    <v>iShares Jpn Fdtl Idx ETF (C-H) (NEOE:CJP)</v>
    <v>4632</v>
  </rv>
  <rv s="1">
    <v>50</v>
  </rv>
  <rv s="2">
    <v>https://www.bing.com/financeapi/forcetrigger?t=ab1dcw&amp;q=XTSE%3aTD&amp;form=skydnc</v>
    <v>Learn more on Bing</v>
  </rv>
  <rv s="5">
    <v>en-US</v>
    <v>ab1dcw</v>
    <v>268435456</v>
    <v>1</v>
    <v>Powered by Refinitiv</v>
    <v>11</v>
    <v>THE TORONTO-DOMINION BANK (XTSE:TD)</v>
    <v>12</v>
    <v>13</v>
    <v>Finance</v>
    <v>14</v>
    <v>122.24</v>
    <v>73.22</v>
    <v>0.8831</v>
    <v>2.11</v>
    <v>0</v>
    <v>1.7569999999999999E-2</v>
    <v>0</v>
    <v>CAD</v>
    <v>The Toronto-Dominion Bank (the Bank) operates as a bank in North America. The Bank, along with subsidiaries, operates across four main business segments: Canadian Personal and Commercial Banking, the United States (U.S.) Retail, Wealth Management and Insurance, and Wholesale Banking. The Canadian Personal and Commercial Banking, which includes TD Canada Trust and TD Auto Finance Canada. The U.S. Retail segment includes TD Bank, a Convenient Bank, TD Auto Finance U.S., and TD Wealth (U.S.). The Wealth Management and Insurance segment includes TD Wealth (Canada), TD Direct Investing, and TD Insurance. The Wholesale Banking segment includes TD Securities and TD Cowen. The Bank offers a wide range of products and services, including banking accounts, financing, investment solutions, cash management (information, consolidation and reporting, payables, and receivables), U.S. banking services, global services, business credit life insurance, wealth advisory services and others.</v>
    <v>103257</v>
    <v>Toronto Stock Exchange</v>
    <v>XTSE</v>
    <v>XTSE</v>
    <v>Toronto-Dominion Centre,, King Street West and Bay Street,, TORONTO, ON, M5K 1A2 CA</v>
    <v>122.24</v>
    <v>Banking Services</v>
    <v>Stock</v>
    <v>45996.875</v>
    <v>52</v>
    <v>120.51</v>
    <v>203726900000</v>
    <v>THE TORONTO-DOMINION BANK</v>
    <v>THE TORONTO-DOMINION BANK</v>
    <v>120.79</v>
    <v>10.4643</v>
    <v>120.09</v>
    <v>122.2</v>
    <v>122.2</v>
    <v>1696451000</v>
    <v>TD</v>
    <v>THE TORONTO-DOMINION BANK (XTSE:TD)</v>
    <v>3842946</v>
    <v>3802390</v>
    <v>1995</v>
  </rv>
  <rv s="1">
    <v>53</v>
  </rv>
  <rv s="2">
    <v>https://www.bing.com/financeapi/forcetrigger?t=ab2rf2&amp;q=XTSE%3aBLN&amp;form=skydnc</v>
    <v>Learn more on Bing</v>
  </rv>
  <rv s="12">
    <v>en-US</v>
    <v>ab2rf2</v>
    <v>268435456</v>
    <v>1</v>
    <v>Powered by Refinitiv</v>
    <v>29</v>
    <v>Blackline Safety Corp. (XTSE:BLN)</v>
    <v>12</v>
    <v>30</v>
    <v>Finance</v>
    <v>14</v>
    <v>7.9649999999999999</v>
    <v>5.98</v>
    <v>1.1981999999999999</v>
    <v>-0.06</v>
    <v>0</v>
    <v>-8.4270000000000005E-3</v>
    <v>0</v>
    <v>CAD</v>
    <v>Blackline Safety Corp. is a Canada-based technology company engaged in the industrial workforce through the Internet of Things (IoT). The Company develops, manufactures and markets products and services that enables businesses with real-time safety insights to manage emergency responses, evacuations and gas detection compliance programs. It provides wearable devices, personal and area gas monitoring, cloud-connected software and data analytics to meet safety challenges and enhance overall productivity for organizations. Its segments include Product and Service. Its software and data solutions include Blackline Live, Blackline Analytics, Plume Modeling, API Library and Loner Mobile. Its personal gas detection solutions include the G6 Single-Gas, G7 Single-Gas, G7 Multi-Gas and G7 Multi-Gas Pump. It offers various accessories, such as G6, G7 and EXO. It serves various industries, such as biotech and pharma, fire and hazmat, oil and gas, petrochemical, steel manufacturing and others.</v>
    <v>540</v>
    <v>Toronto Stock Exchange</v>
    <v>XTSE</v>
    <v>XTSE</v>
    <v>Unit 100, 803 24 Avenue SE, CALGARY, AB, T2G 1P5 CA</v>
    <v>7.15</v>
    <v>Communications &amp; Networking</v>
    <v>Stock</v>
    <v>45996.875</v>
    <v>55</v>
    <v>7.01</v>
    <v>614005729</v>
    <v>Blackline Safety Corp.</v>
    <v>Blackline Safety Corp.</v>
    <v>7.01</v>
    <v>0</v>
    <v>7.12</v>
    <v>7.06</v>
    <v>7.06</v>
    <v>86969650</v>
    <v>BLN</v>
    <v>Blackline Safety Corp. (XTSE:BLN)</v>
    <v>9588</v>
    <v>28350</v>
  </rv>
  <rv s="1">
    <v>56</v>
  </rv>
  <rv s="11">
    <v>en-US</v>
    <v>cdoaec</v>
    <v>268435456</v>
    <v>1</v>
    <v>Powered by Refinitiv</v>
    <v>26</v>
    <v>Brookfield Corporation (NEOE:BN)</v>
    <v>9</v>
    <v>31</v>
    <v>Finance</v>
    <v>4</v>
    <v>68.38</v>
    <v>41.313400000000001</v>
    <v>1.5956999999999999</v>
    <v>-0.57999999999999996</v>
    <v>-8.8999999999999999E-3</v>
    <v>CAD</v>
    <v>Brookfield Corporation is a Canada-based global investment firm focused on building long-term wealth for institutions and individuals around the world. The Company has three core businesses: Alternative Asset Management, Wealth Solutions, and its Operating Businesses, which are in renewable power, infrastructure, business and industrial services, and real estate. Its Asset Management business includes managing long-term private funds, perpetual strategies and liquid strategies on behalf of its investors and itself. The Company's Wealth Solutions business includes its equity accounted interest in Brookfield Wealth Solutions Ltd. Its renewable power and transition business includes the ownership, operation and development of hydroelectric, wind, utility-scale solar power generating assets, distributed energy, and sustainable solutions. The Company’s infrastructure business includes the ownership, operation and development of utilities, transport, midstream, and data assets.</v>
    <v>250000</v>
    <v>NEO Exchange</v>
    <v>NEOE</v>
    <v>NEOE</v>
    <v>Brookfield Place, 181 Bay St, Ste 100, Po Box 762, TORONTO, ON, M5J2T3 CA</v>
    <v>65.47</v>
    <v>Investment Banking &amp; Investment Services</v>
    <v>Stock</v>
    <v>45996.874835115625</v>
    <v>64.37</v>
    <v>115678600000</v>
    <v>Brookfield Corporation</v>
    <v>Brookfield Corporation</v>
    <v>64.83</v>
    <v>65.17</v>
    <v>64.59</v>
    <v>2475997000</v>
    <v>BN</v>
    <v>Brookfield Corporation (NEOE:BN)</v>
    <v>64800</v>
    <v>4147510</v>
    <v>2005</v>
  </rv>
  <rv s="1">
    <v>58</v>
  </rv>
  <rv s="0">
    <v>en-US</v>
    <v>cdy8mw</v>
    <v>268435456</v>
    <v>1</v>
    <v>Powered by Refinitiv</v>
    <v>0</v>
    <v>Invesco NASDAQ 100 Index ETF (NEOE:QQC)</v>
    <v>2</v>
    <v>3</v>
    <v>Finance</v>
    <v>4</v>
    <v>43.64</v>
    <v>27.54</v>
    <v>1.2024999999999999</v>
    <v>-0.2</v>
    <v>-4.7099999999999998E-3</v>
    <v>CAD</v>
    <v>NEO Exchange</v>
    <v>NEOE</v>
    <v>2E-3</v>
    <v>42.6</v>
    <v>ETF</v>
    <v>45996.860347210153</v>
    <v>42.24</v>
    <v>1339919782</v>
    <v>Invesco NASDAQ 100 Index ETF</v>
    <v>42.5</v>
    <v>42.46</v>
    <v>42.26</v>
    <v>QQC</v>
    <v>Invesco NASDAQ 100 Index ETF (NEOE:QQC)</v>
    <v>11768</v>
  </rv>
  <rv s="1">
    <v>60</v>
  </rv>
  <rv s="11">
    <v>en-US</v>
    <v>cfsxdm</v>
    <v>268435456</v>
    <v>1</v>
    <v>Powered by Refinitiv</v>
    <v>26</v>
    <v>PALANTIR TECHNOLOGIES INC. (NEOE:PLTR)</v>
    <v>9</v>
    <v>31</v>
    <v>Finance</v>
    <v>4</v>
    <v>16.037500000000001</v>
    <v>5.2</v>
    <v>1.5448999999999999</v>
    <v>0.27</v>
    <v>1.9694E-2</v>
    <v>CAD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4414</v>
    <v>NEO Exchange</v>
    <v>NEOE</v>
    <v>NEOE</v>
    <v>1200 17Th Street, Floor 15, DENVER, CO, 80202 US</v>
    <v>14.01</v>
    <v>Software &amp; IT Services</v>
    <v>Stock</v>
    <v>45996.874976978906</v>
    <v>13.65</v>
    <v>423882200000</v>
    <v>PALANTIR TECHNOLOGIES INC.</v>
    <v>PALANTIR TECHNOLOGIES INC.</v>
    <v>13.75</v>
    <v>13.71</v>
    <v>13.98</v>
    <v>2382431000</v>
    <v>PLTR</v>
    <v>PALANTIR TECHNOLOGIES INC. (NEOE:PLTR)</v>
    <v>165206</v>
    <v>41890860</v>
    <v>2003</v>
  </rv>
  <rv s="1">
    <v>62</v>
  </rv>
  <rv s="2">
    <v>https://www.bing.com/financeapi/forcetrigger?t=c5wzrw&amp;q=NEOE%3aGOOG&amp;form=skydnc</v>
    <v>Learn more on Bing</v>
  </rv>
  <rv s="13">
    <v>en-US</v>
    <v>c5wzrw</v>
    <v>268435456</v>
    <v>1</v>
    <v>Powered by Refinitiv</v>
    <v>32</v>
    <v>ALPHABET INC. (NEOE:GOOG)</v>
    <v>12</v>
    <v>31</v>
    <v>Finance</v>
    <v>4</v>
    <v>53.32</v>
    <v>23.57</v>
    <v>1.0845</v>
    <v>0.67</v>
    <v>1.2987E-2</v>
    <v>CAD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190167</v>
    <v>NEO Exchange</v>
    <v>NEOE</v>
    <v>NEOE</v>
    <v>1600 Amphitheatre Parkway, MOUNTAIN VIEW, CA, 94043 US</v>
    <v>52.47</v>
    <v>Software &amp; IT Services</v>
    <v>Stock</v>
    <v>45996.874989247655</v>
    <v>64</v>
    <v>51.93</v>
    <v>3836884000000</v>
    <v>ALPHABET INC.</v>
    <v>ALPHABET INC.</v>
    <v>52.01</v>
    <v>51.59</v>
    <v>52.26</v>
    <v>12067000000</v>
    <v>GOOG</v>
    <v>ALPHABET INC. (NEOE:GOOG)</v>
    <v>94603</v>
    <v>57442700</v>
    <v>2015</v>
  </rv>
  <rv s="1">
    <v>65</v>
  </rv>
</rvData>
</file>

<file path=xl/richData/rdrichvaluestructure.xml><?xml version="1.0" encoding="utf-8"?>
<rvStructures xmlns="http://schemas.microsoft.com/office/spreadsheetml/2017/richdata" count="14">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ow"/>
    <k n="Market cap"/>
    <k n="Name" t="s"/>
    <k n="Open"/>
    <k n="Previous close"/>
    <k n="Price"/>
    <k n="Ticker symbol" t="s"/>
    <k n="UniqueName" t="s"/>
    <k n="Volume"/>
  </s>
  <s t="_linkedentity">
    <k n="%cvi" t="r"/>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11">
    <a count="32">
      <v t="s">%EntityServiceId</v>
      <v t="s">_Format</v>
      <v t="s">%IsRefreshable</v>
      <v t="s">%EntityCulture</v>
      <v t="s">%EntityId</v>
      <v t="s">_Icon</v>
      <v t="s">_Display</v>
      <v t="s">Name</v>
      <v t="s">Price</v>
      <v t="s">Exchange</v>
      <v t="s">_SubLabel</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1">
      <v t="s">%EntityServiceId</v>
      <v t="s">_Format</v>
      <v t="s">%IsRefreshable</v>
      <v t="s">%EntityCulture</v>
      <v t="s">%EntityId</v>
      <v t="s">_Icon</v>
      <v t="s">_Display</v>
      <v t="s">Name</v>
      <v t="s">Price</v>
      <v t="s">Exchange</v>
      <v t="s">_SubLabel</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%ProviderInfo</v>
    </a>
    <a count="30">
      <v t="s">%EntityServiceId</v>
      <v t="s">_Format</v>
      <v t="s">%IsRefreshable</v>
      <v t="s">%EntityCulture</v>
      <v t="s">%EntityId</v>
      <v t="s">_Icon</v>
      <v t="s">_Display</v>
      <v t="s">Name</v>
      <v t="s">Price</v>
      <v t="s">Exchange</v>
      <v t="s">_SubLabel</v>
      <v t="s">Last trade time</v>
      <v t="s">Ticker symbol</v>
      <v t="s">Exchange abbreviation</v>
      <v t="s">Change</v>
      <v t="s">Expense ratio</v>
      <v t="s">Change (%)</v>
      <v t="s">Currency</v>
      <v t="s">Previous close</v>
      <v t="s">Open</v>
      <v t="s">High</v>
      <v t="s">Low</v>
      <v t="s">52 week high</v>
      <v t="s">52 week low</v>
      <v t="s">Volume</v>
      <v t="s">Instrument type</v>
      <v t="s">_Flags</v>
      <v t="s">UniqueName</v>
      <v t="s">_DisplayString</v>
      <v t="s">%ProviderInfo</v>
    </a>
    <a count="40">
      <v t="s">%EntityServiceId</v>
      <v t="s">_Format</v>
      <v t="s">%IsRefreshable</v>
      <v t="s">%EntityCulture</v>
      <v t="s">%EntityId</v>
      <v t="s">_Icon</v>
      <v t="s">_Display</v>
      <v t="s">Name</v>
      <v t="s">Price</v>
      <v t="s">Exchange</v>
      <v t="s">Official name</v>
      <v t="s">_SubLabel</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33">
      <v t="s">%EntityServiceId</v>
      <v t="s">_Format</v>
      <v t="s">%IsRefreshable</v>
      <v t="s">%EntityCulture</v>
      <v t="s">%EntityId</v>
      <v t="s">_Icon</v>
      <v t="s">_Display</v>
      <v t="s">Name</v>
      <v t="s">Price</v>
      <v t="s">Exchange</v>
      <v t="s">_SubLabel</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Price</v>
      <v t="s">Exchange</v>
      <v t="s">Official name</v>
      <v t="s">_SubLabel</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33">
    <spb s="0">
      <v>0</v>
      <v>Name</v>
    </spb>
    <spb s="1">
      <v>0</v>
      <v>0</v>
      <v>0</v>
    </spb>
    <spb s="2">
      <v>1</v>
      <v>1</v>
    </spb>
    <spb s="3">
      <v>1</v>
      <v>2</v>
      <v>1</v>
      <v>3</v>
      <v>1</v>
      <v>1</v>
      <v>1</v>
      <v>4</v>
      <v>5</v>
      <v>6</v>
      <v>1</v>
      <v>1</v>
      <v>5</v>
      <v>1</v>
      <v>7</v>
      <v>8</v>
    </spb>
    <spb s="4">
      <v>from previous close</v>
      <v>from previous close</v>
      <v>GMT</v>
    </spb>
    <spb s="5">
      <v>1</v>
      <v>Name</v>
      <v>LearnMoreOnLink</v>
    </spb>
    <spb s="6">
      <v>1</v>
      <v>1</v>
      <v>1</v>
    </spb>
    <spb s="7">
      <v>Delayed 20 minutes</v>
      <v>from previous close</v>
      <v>from previous close</v>
      <v>GMT</v>
    </spb>
    <spb s="0">
      <v>2</v>
      <v>Name</v>
    </spb>
    <spb s="8">
      <v>1</v>
      <v>1</v>
      <v>1</v>
    </spb>
    <spb s="9">
      <v>1</v>
      <v>2</v>
      <v>2</v>
      <v>1</v>
      <v>3</v>
      <v>1</v>
      <v>1</v>
      <v>1</v>
      <v>4</v>
      <v>4</v>
      <v>5</v>
      <v>9</v>
      <v>1</v>
      <v>1</v>
      <v>1</v>
      <v>4</v>
      <v>7</v>
      <v>10</v>
      <v>8</v>
      <v>4</v>
    </spb>
    <spb s="5">
      <v>3</v>
      <v>Name</v>
      <v>LearnMoreOnLink</v>
    </spb>
    <spb s="10">
      <v>1</v>
      <v>1</v>
      <v>1</v>
      <v>1</v>
    </spb>
    <spb s="11">
      <v>1</v>
      <v>2</v>
      <v>2</v>
      <v>1</v>
      <v>3</v>
      <v>1</v>
      <v>1</v>
      <v>1</v>
      <v>4</v>
      <v>4</v>
      <v>5</v>
      <v>6</v>
      <v>1</v>
      <v>1</v>
      <v>1</v>
      <v>4</v>
      <v>7</v>
      <v>10</v>
      <v>8</v>
      <v>4</v>
      <v>1</v>
      <v>1</v>
      <v>5</v>
    </spb>
    <spb s="12">
      <v>at close</v>
      <v>from previous close</v>
      <v>from previous close</v>
      <v>GMT</v>
      <v>Delayed 20 minutes</v>
      <v>from close</v>
      <v>from close</v>
    </spb>
    <spb s="5">
      <v>4</v>
      <v>Name</v>
      <v>LearnMoreOnLink</v>
    </spb>
    <spb s="13">
      <v>0</v>
      <v>0</v>
    </spb>
    <spb s="14">
      <v>16</v>
      <v>1</v>
      <v>1</v>
      <v>1</v>
      <v>1</v>
    </spb>
    <spb s="15">
      <v>1</v>
      <v>2</v>
      <v>2</v>
      <v>1</v>
      <v>3</v>
      <v>1</v>
      <v>11</v>
      <v>1</v>
      <v>1</v>
      <v>4</v>
      <v>4</v>
      <v>5</v>
      <v>6</v>
      <v>1</v>
      <v>1</v>
      <v>1</v>
      <v>4</v>
      <v>7</v>
      <v>10</v>
      <v>8</v>
      <v>4</v>
      <v>1</v>
      <v>1</v>
      <v>5</v>
    </spb>
    <spb s="16">
      <v>Powered by Refinitiv</v>
    </spb>
    <spb s="0">
      <v>5</v>
      <v>Name</v>
    </spb>
    <spb s="17">
      <v>1</v>
      <v>1</v>
      <v>3</v>
      <v>1</v>
      <v>1</v>
      <v>1</v>
      <v>4</v>
      <v>5</v>
      <v>6</v>
      <v>1</v>
      <v>1</v>
      <v>5</v>
      <v>1</v>
      <v>7</v>
      <v>8</v>
    </spb>
    <spb s="11">
      <v>12</v>
      <v>2</v>
      <v>2</v>
      <v>12</v>
      <v>3</v>
      <v>12</v>
      <v>12</v>
      <v>12</v>
      <v>4</v>
      <v>4</v>
      <v>5</v>
      <v>9</v>
      <v>12</v>
      <v>12</v>
      <v>12</v>
      <v>4</v>
      <v>7</v>
      <v>10</v>
      <v>8</v>
      <v>4</v>
      <v>12</v>
      <v>12</v>
      <v>5</v>
    </spb>
    <spb s="18">
      <v>at close</v>
      <v>from previous close</v>
      <v>from previous close</v>
      <v>Source: Nasdaq Last Sale</v>
      <v>GMT</v>
      <v>Real-Time Nasdaq Last Sale</v>
      <v>from close</v>
      <v>from close</v>
    </spb>
    <spb s="0">
      <v>6</v>
      <v>Name</v>
    </spb>
    <spb s="19">
      <v>1</v>
      <v>1</v>
      <v>3</v>
      <v>1</v>
      <v>1</v>
      <v>1</v>
      <v>4</v>
      <v>5</v>
      <v>1</v>
      <v>1</v>
      <v>5</v>
      <v>1</v>
      <v>7</v>
      <v>8</v>
    </spb>
    <spb s="0">
      <v>7</v>
      <v>Name</v>
    </spb>
    <spb s="20">
      <v>1</v>
      <v>2</v>
      <v>1</v>
      <v>3</v>
      <v>1</v>
      <v>1</v>
      <v>1</v>
      <v>4</v>
      <v>4</v>
      <v>5</v>
      <v>6</v>
      <v>1</v>
      <v>1</v>
      <v>1</v>
      <v>4</v>
      <v>7</v>
      <v>10</v>
      <v>8</v>
      <v>4</v>
    </spb>
    <spb s="5">
      <v>8</v>
      <v>Name</v>
      <v>LearnMoreOnLink</v>
    </spb>
    <spb s="5">
      <v>9</v>
      <v>Name</v>
      <v>LearnMoreOnLink</v>
    </spb>
    <spb s="21">
      <v>1</v>
      <v>2</v>
      <v>2</v>
      <v>1</v>
      <v>3</v>
      <v>1</v>
      <v>1</v>
      <v>1</v>
      <v>4</v>
      <v>4</v>
      <v>5</v>
      <v>6</v>
      <v>1</v>
      <v>1</v>
      <v>1</v>
      <v>4</v>
      <v>7</v>
      <v>8</v>
      <v>4</v>
      <v>1</v>
      <v>1</v>
      <v>5</v>
    </spb>
    <spb s="20">
      <v>1</v>
      <v>2</v>
      <v>1</v>
      <v>3</v>
      <v>1</v>
      <v>1</v>
      <v>1</v>
      <v>4</v>
      <v>4</v>
      <v>5</v>
      <v>9</v>
      <v>1</v>
      <v>1</v>
      <v>1</v>
      <v>4</v>
      <v>7</v>
      <v>10</v>
      <v>8</v>
      <v>4</v>
    </spb>
    <spb s="5">
      <v>10</v>
      <v>Name</v>
      <v>LearnMoreOnLink</v>
    </spb>
  </spbData>
</supportingPropertyBags>
</file>

<file path=xl/richData/rdsupportingpropertybagstructure.xml><?xml version="1.0" encoding="utf-8"?>
<spbStructures xmlns="http://schemas.microsoft.com/office/spreadsheetml/2017/richdata2" count="22">
  <s>
    <k n="^Order" t="spba"/>
    <k n="TitleProperty" t="s"/>
  </s>
  <s>
    <k n="ShowInCardView" t="b"/>
    <k n="ShowInDotNotation" t="b"/>
    <k n="ShowInAutoComplete" t="b"/>
  </s>
  <s>
    <k n="UniqueName" t="spb"/>
    <k n="`%ProviderInfo" t="spb"/>
  </s>
  <s>
    <k n="Low" t="i"/>
    <k n="Beta" t="i"/>
    <k n="High" t="i"/>
    <k n="Name" t="i"/>
    <k n="Open" t="i"/>
    <k n="Price" t="i"/>
    <k n="Change" t="i"/>
    <k n="Volume" t="i"/>
    <k n="Change (%)" t="i"/>
    <k n="Market cap" t="i"/>
    <k n="52 week low" t="i"/>
    <k n="52 week high" t="i"/>
    <k n="Expense ratio" t="i"/>
    <k n="Previous close" t="i"/>
    <k n="Last trade time" t="i"/>
    <k n="`%EntityServiceId" t="i"/>
  </s>
  <s>
    <k n="Change" t="s"/>
    <k n="Change (%)" t="s"/>
    <k n="Last trade time" t="s"/>
  </s>
  <s>
    <k n="^Order" t="spba"/>
    <k n="TitleProperty" t="s"/>
    <k n="SubTitleProperty" t="s"/>
  </s>
  <s>
    <k n="UniqueName" t="spb"/>
    <k n="`%ProviderInfo" t="spb"/>
    <k n="LearnMoreOnLink" t="spb"/>
  </s>
  <s>
    <k n="Price" t="s"/>
    <k n="Change" t="s"/>
    <k n="Change (%)" t="s"/>
    <k n="Last trade time" t="s"/>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Low" t="i"/>
    <k n="High" t="i"/>
    <k n="Name" t="i"/>
    <k n="Open" t="i"/>
    <k n="Price" t="i"/>
    <k n="Change" t="i"/>
    <k n="Volume" t="i"/>
    <k n="Change (%)" t="i"/>
    <k n="Market cap" t="i"/>
    <k n="52 week low" t="i"/>
    <k n="52 week high" t="i"/>
    <k n="Expense ratio" t="i"/>
    <k n="Previous close" t="i"/>
    <k n="Last trade time" t="i"/>
    <k n="`%EntityServiceId" t="i"/>
  </s>
  <s>
    <k n="Price" t="s"/>
    <k n="Change" t="s"/>
    <k n="Change (%)" t="s"/>
    <k n="ExchangeID" t="s"/>
    <k n="Last trade time" t="s"/>
    <k n="Price (Extended hours)" t="s"/>
    <k n="Change (Extended hours)" t="s"/>
    <k n="Change % (Extended hours)" t="s"/>
  </s>
  <s>
    <k n="Low" t="i"/>
    <k n="High" t="i"/>
    <k n="Name" t="i"/>
    <k n="Open" t="i"/>
    <k n="Price" t="i"/>
    <k n="Change" t="i"/>
    <k n="Volume" t="i"/>
    <k n="Change (%)" t="i"/>
    <k n="52 week low" t="i"/>
    <k n="52 week high" t="i"/>
    <k n="Expense ratio" t="i"/>
    <k n="Previous close" t="i"/>
    <k n="Last trade time" t="i"/>
    <k n="`%EntityServiceId"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_-[$$-en-CA]* #,##0.00_-;-[$$-en-CA]* #,##0.00_-;_-[$$-en-CA]* "-"??_-;_-@_-</rpv>
    </rSty>
    <rSty dxfid="5">
      <rpv i="0">#,##0.00</rpv>
    </rSty>
    <rSty>
      <rpv i="1">1</rpv>
    </rSty>
    <rSty dxfid="4">
      <rpv i="0">#,##0</rpv>
    </rSty>
    <rSty dxfid="3"/>
    <rSty dxfid="1">
      <rpv i="0">_-[$$-en-CA]* #,##0_-;-[$$-en-CA]* #,##0_-;_-[$$-en-CA]* "-"_-;_-@_-</rpv>
    </rSty>
    <rSty dxfid="2"/>
    <rSty dxfid="0">
      <rpv i="0">0.00</rpv>
    </rSty>
    <rSty dxfid="1">
      <rpv i="0">_([$$-en-US]* #,##0_);_([$$-en-US]* (#,##0);_([$$-en-US]* "-"_);_(@_)</rpv>
    </rSty>
    <rSty dxfid="6">
      <rpv i="0">0</rpv>
    </rSty>
    <rSty>
      <rpv i="2">1</rpv>
    </rSty>
    <rSty dxfid="1">
      <rpv i="0">_([$$-en-US]* #,##0.00_);_([$$-en-US]* (#,##0.00);_([$$-en-US]*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00A222-0CF1-4FBC-A837-A137367E7474}" name="Table1" displayName="Table1" ref="B2:H246" totalsRowShown="0" headerRowDxfId="10" dataDxfId="9">
  <autoFilter ref="B2:H246" xr:uid="{8300A222-0CF1-4FBC-A837-A137367E7474}"/>
  <tableColumns count="7">
    <tableColumn id="1" xr3:uid="{C60E4620-1FC0-4FB8-90A8-A03C82E54946}" name="Stock Ticker" dataDxfId="8"/>
    <tableColumn id="2" xr3:uid="{688939B1-99E5-4B76-960E-CAFB39E3826D}" name="Transaction" dataDxfId="7"/>
    <tableColumn id="3" xr3:uid="{C582CBEE-E7F2-4AE7-B77B-067721652579}" name="Date" dataDxfId="6"/>
    <tableColumn id="4" xr3:uid="{17D5F955-BF10-454A-963A-4D798B564C32}" name="Quantity" dataDxfId="5"/>
    <tableColumn id="5" xr3:uid="{1ACCD288-BC29-47B2-BC26-53FEF1B314B3}" name="Price" dataDxfId="4"/>
    <tableColumn id="6" xr3:uid="{7390BCBD-E0E2-44E3-91E4-82CE5AD7F634}" name="Dividend" dataDxfId="3"/>
    <tableColumn id="7" xr3:uid="{9E338BB7-B1D3-4C5C-BE39-A84B2E14FF25}" name="Total Amount" dataDxfId="2">
      <calculatedColumnFormula>'Transaction Log'!$F3*'Transaction Log'!$E3</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26935-B4EE-4126-A8E9-6B8883712944}">
  <dimension ref="B1:C24"/>
  <sheetViews>
    <sheetView showGridLines="0" topLeftCell="A15" workbookViewId="0">
      <selection activeCell="C29" sqref="C29"/>
    </sheetView>
  </sheetViews>
  <sheetFormatPr defaultRowHeight="14.25" x14ac:dyDescent="0.45"/>
  <cols>
    <col min="1" max="1" width="1.1328125" customWidth="1"/>
    <col min="2" max="2" width="25.1328125" customWidth="1"/>
    <col min="3" max="3" width="55.86328125" customWidth="1"/>
  </cols>
  <sheetData>
    <row r="1" spans="2:3" ht="6" customHeight="1" x14ac:dyDescent="0.45"/>
    <row r="2" spans="2:3" ht="26.65" x14ac:dyDescent="0.85">
      <c r="B2" s="71" t="s">
        <v>0</v>
      </c>
      <c r="C2" s="71"/>
    </row>
    <row r="4" spans="2:3" x14ac:dyDescent="0.45">
      <c r="B4" s="61" t="s">
        <v>1</v>
      </c>
      <c r="C4" s="64" t="s">
        <v>2</v>
      </c>
    </row>
    <row r="5" spans="2:3" x14ac:dyDescent="0.45">
      <c r="B5" s="61" t="s">
        <v>3</v>
      </c>
      <c r="C5" s="65" t="s">
        <v>4</v>
      </c>
    </row>
    <row r="6" spans="2:3" ht="57" x14ac:dyDescent="0.45">
      <c r="B6" s="63" t="s">
        <v>5</v>
      </c>
      <c r="C6" s="66" t="s">
        <v>6</v>
      </c>
    </row>
    <row r="8" spans="2:3" x14ac:dyDescent="0.45">
      <c r="B8" s="61" t="s">
        <v>7</v>
      </c>
      <c r="C8" t="s">
        <v>8</v>
      </c>
    </row>
    <row r="10" spans="2:3" x14ac:dyDescent="0.45">
      <c r="B10" s="63" t="s">
        <v>9</v>
      </c>
      <c r="C10" s="61" t="s">
        <v>10</v>
      </c>
    </row>
    <row r="11" spans="2:3" ht="28.5" x14ac:dyDescent="0.45">
      <c r="B11" s="67" t="s">
        <v>11</v>
      </c>
      <c r="C11" s="62" t="s">
        <v>12</v>
      </c>
    </row>
    <row r="12" spans="2:3" x14ac:dyDescent="0.45">
      <c r="B12" s="67" t="s">
        <v>13</v>
      </c>
      <c r="C12" t="s">
        <v>14</v>
      </c>
    </row>
    <row r="13" spans="2:3" x14ac:dyDescent="0.45">
      <c r="B13" s="67" t="s">
        <v>15</v>
      </c>
      <c r="C13" t="s">
        <v>16</v>
      </c>
    </row>
    <row r="14" spans="2:3" x14ac:dyDescent="0.45">
      <c r="B14" s="67" t="s">
        <v>17</v>
      </c>
      <c r="C14" t="s">
        <v>18</v>
      </c>
    </row>
    <row r="15" spans="2:3" x14ac:dyDescent="0.45">
      <c r="B15" s="67" t="s">
        <v>19</v>
      </c>
      <c r="C15" t="s">
        <v>20</v>
      </c>
    </row>
    <row r="16" spans="2:3" x14ac:dyDescent="0.45">
      <c r="B16" s="67" t="s">
        <v>21</v>
      </c>
      <c r="C16" t="s">
        <v>22</v>
      </c>
    </row>
    <row r="18" spans="2:3" x14ac:dyDescent="0.45">
      <c r="B18" s="61" t="s">
        <v>23</v>
      </c>
      <c r="C18" s="61" t="s">
        <v>10</v>
      </c>
    </row>
    <row r="19" spans="2:3" ht="28.5" x14ac:dyDescent="0.45">
      <c r="B19" s="70" t="s">
        <v>24</v>
      </c>
      <c r="C19" s="62" t="s">
        <v>25</v>
      </c>
    </row>
    <row r="20" spans="2:3" ht="28.5" x14ac:dyDescent="0.45">
      <c r="B20" s="70" t="s">
        <v>26</v>
      </c>
      <c r="C20" s="62" t="s">
        <v>27</v>
      </c>
    </row>
    <row r="21" spans="2:3" ht="28.5" x14ac:dyDescent="0.45">
      <c r="B21" s="70" t="s">
        <v>28</v>
      </c>
      <c r="C21" s="62" t="s">
        <v>29</v>
      </c>
    </row>
    <row r="22" spans="2:3" x14ac:dyDescent="0.45">
      <c r="B22" s="70" t="s">
        <v>30</v>
      </c>
      <c r="C22" s="69" t="s">
        <v>31</v>
      </c>
    </row>
    <row r="24" spans="2:3" x14ac:dyDescent="0.45">
      <c r="B24" s="68" t="s">
        <v>32</v>
      </c>
    </row>
  </sheetData>
  <mergeCells count="1">
    <mergeCell ref="B2:C2"/>
  </mergeCells>
  <hyperlinks>
    <hyperlink ref="B19" location="Dashboard!A1" display="Dashboard" xr:uid="{E8E7DA78-01B9-4CDE-A079-92BCAEEC15E4}"/>
    <hyperlink ref="B20" location="'Transaction Log'!A1" display="Transaction Log" xr:uid="{67FBAFD0-969F-4724-8992-D3A735C5F4B4}"/>
    <hyperlink ref="B21" location="'Realized Gains &amp; Losses'!A1" display="Realized Gains/Losses" xr:uid="{99C1FC1E-CEA7-4239-83C2-D0CDF10A5BEC}"/>
    <hyperlink ref="B22" location="'Chart Data Source'!A1" display="Chart Data Source" xr:uid="{33427D75-8E43-4923-BE9B-3E72933AD3B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1B22A-4EF6-4376-B2F2-3347EB055417}">
  <dimension ref="B1:P28"/>
  <sheetViews>
    <sheetView showGridLines="0" tabSelected="1" zoomScale="71" zoomScaleNormal="115" workbookViewId="0">
      <selection activeCell="B46" sqref="B46"/>
    </sheetView>
  </sheetViews>
  <sheetFormatPr defaultColWidth="9.1328125" defaultRowHeight="14.25" x14ac:dyDescent="0.45"/>
  <cols>
    <col min="1" max="1" width="1.1328125" style="22" customWidth="1"/>
    <col min="2" max="3" width="43.73046875" style="22" bestFit="1" customWidth="1"/>
    <col min="4" max="4" width="23.86328125" style="22" customWidth="1"/>
    <col min="5" max="5" width="9.1328125" style="22" bestFit="1" customWidth="1"/>
    <col min="6" max="6" width="23.3984375" style="22" bestFit="1" customWidth="1"/>
    <col min="7" max="7" width="18.86328125" style="22" customWidth="1"/>
    <col min="8" max="8" width="15.3984375" style="22" customWidth="1"/>
    <col min="9" max="9" width="13.86328125" style="22" customWidth="1"/>
    <col min="10" max="10" width="9.265625" style="22" customWidth="1"/>
    <col min="11" max="11" width="14.3984375" style="22" bestFit="1" customWidth="1"/>
    <col min="12" max="12" width="18.1328125" style="22" customWidth="1"/>
    <col min="13" max="13" width="17.265625" style="22" customWidth="1"/>
    <col min="14" max="14" width="1.3984375" style="22" customWidth="1"/>
    <col min="15" max="15" width="39.3984375" style="22" bestFit="1" customWidth="1"/>
    <col min="16" max="16" width="18.86328125" style="22" bestFit="1" customWidth="1"/>
    <col min="17" max="16384" width="9.1328125" style="22"/>
  </cols>
  <sheetData>
    <row r="1" spans="2:16" ht="6" customHeight="1" x14ac:dyDescent="0.45"/>
    <row r="2" spans="2:16" x14ac:dyDescent="0.45">
      <c r="B2" s="75" t="s">
        <v>0</v>
      </c>
      <c r="C2" s="76"/>
      <c r="D2" s="76"/>
      <c r="E2" s="76"/>
      <c r="F2" s="76"/>
      <c r="G2" s="76"/>
      <c r="H2" s="76"/>
      <c r="I2" s="76"/>
      <c r="J2" s="76"/>
      <c r="K2" s="76"/>
      <c r="L2" s="76"/>
      <c r="M2" s="77"/>
    </row>
    <row r="3" spans="2:16" x14ac:dyDescent="0.45">
      <c r="B3" s="78"/>
      <c r="C3" s="79"/>
      <c r="D3" s="79"/>
      <c r="E3" s="79"/>
      <c r="F3" s="79"/>
      <c r="G3" s="79"/>
      <c r="H3" s="79"/>
      <c r="I3" s="79"/>
      <c r="J3" s="79"/>
      <c r="K3" s="79"/>
      <c r="L3" s="79"/>
      <c r="M3" s="80"/>
    </row>
    <row r="4" spans="2:16" ht="3" customHeight="1" x14ac:dyDescent="0.45"/>
    <row r="5" spans="2:16" x14ac:dyDescent="0.45">
      <c r="B5" s="72" t="s">
        <v>33</v>
      </c>
      <c r="C5" s="74"/>
      <c r="D5" s="74"/>
      <c r="E5" s="74"/>
      <c r="F5" s="74"/>
      <c r="G5" s="74"/>
      <c r="H5" s="74"/>
      <c r="I5" s="74"/>
      <c r="J5" s="74"/>
      <c r="K5" s="74"/>
      <c r="L5" s="74"/>
      <c r="M5" s="73"/>
      <c r="O5" s="72" t="s">
        <v>34</v>
      </c>
      <c r="P5" s="73"/>
    </row>
    <row r="6" spans="2:16" x14ac:dyDescent="0.45">
      <c r="B6" s="5" t="s">
        <v>35</v>
      </c>
      <c r="C6" s="6" t="s">
        <v>36</v>
      </c>
      <c r="D6" s="6" t="s">
        <v>37</v>
      </c>
      <c r="E6" s="6" t="s">
        <v>38</v>
      </c>
      <c r="F6" s="6" t="s">
        <v>39</v>
      </c>
      <c r="G6" s="6" t="s">
        <v>40</v>
      </c>
      <c r="H6" s="6" t="s">
        <v>41</v>
      </c>
      <c r="I6" s="6" t="s">
        <v>42</v>
      </c>
      <c r="J6" s="6" t="s">
        <v>43</v>
      </c>
      <c r="K6" s="6" t="s">
        <v>44</v>
      </c>
      <c r="L6" s="6" t="s">
        <v>45</v>
      </c>
      <c r="M6" s="12" t="s">
        <v>46</v>
      </c>
      <c r="N6" s="23"/>
      <c r="O6" s="56" t="s">
        <v>47</v>
      </c>
      <c r="P6" s="57" t="s">
        <v>48</v>
      </c>
    </row>
    <row r="7" spans="2:16" x14ac:dyDescent="0.45">
      <c r="B7" s="24" t="e" cm="1" vm="1">
        <f t="array" ref="B7:B22">_xlfn.UNIQUE(_xlfn._xlws.FILTER('Transaction Log'!$B$3:$B$246,(SUMIFS('Transaction Log'!$E$3:$E$246,'Transaction Log'!$B$3:$B$246,'Transaction Log'!$B$3:$B$246,'Transaction Log'!$C$3:$C$246,"BUY")-SUMIFS('Transaction Log'!$E$3:$E$246,'Transaction Log'!$B$3:$B$246,'Transaction Log'!$B$3:$B$246,'Transaction Log'!$C$3:$C$246,"SELL"))&gt;0))</f>
        <v>#VALUE!</v>
      </c>
      <c r="C7" s="25" t="s">
        <v>49</v>
      </c>
      <c r="D7" s="26" cm="1">
        <f t="array" aca="1" ref="D7" ca="1">_FV(B7,"Market cap",TRUE)</f>
        <v>11753419271.67</v>
      </c>
      <c r="E7" s="22" t="str">
        <f t="shared" ref="E7:E18" ca="1" si="0">IF(ISNUMBER(D7),IF(D7&gt;10000000000,"Large",IF(D7&gt;2000000000,"Mid","Small")),"N/A")</f>
        <v>Large</v>
      </c>
      <c r="F7" s="27">
        <f>SUMIFS('Transaction Log'!$E$3:$E$246,'Transaction Log'!$B$3:$B$246,B7,'Transaction Log'!$C$3:$C$246,"BUY")
-SUMIFS('Transaction Log'!$E$3:$E$246,'Transaction Log'!$B$3:$B$246,B7,'Transaction Log'!$C$3:$C$246,"SELL")</f>
        <v>123.82719999999995</v>
      </c>
      <c r="G7" s="28" cm="1">
        <f t="array" aca="1" ref="G7" ca="1">_FV(B7,"Price")</f>
        <v>39.97</v>
      </c>
      <c r="H7" s="28">
        <f ca="1">F7*G7</f>
        <v>4949.3731839999982</v>
      </c>
      <c r="I7" s="29">
        <f ca="1">H7/SUM(H$7:H$22)</f>
        <v>0.21955716020141655</v>
      </c>
      <c r="J7" s="30" cm="1">
        <f t="array" aca="1" ref="J7" ca="1">IFERROR(_FV(B7,"Beta"), 0)</f>
        <v>0.94740000000000002</v>
      </c>
      <c r="K7" s="37" cm="1">
        <f t="array" aca="1" ref="K7" ca="1">IFERROR(F7*(G7 - _xlfn.FIELDVALUE(B7,"Previous close")),0)</f>
        <v>-38.386432000000262</v>
      </c>
      <c r="L7" s="54" cm="1">
        <f t="array" aca="1" ref="L7" ca="1">IFERROR((G7 -_FV( B7,"Previous close",TRUE)) /_FV( B7,"Previous close",TRUE), 0)</f>
        <v>-7.6961271102284571E-3</v>
      </c>
      <c r="M7" s="38">
        <f ca="1">VLOOKUP(B7,'Realized Gains &amp; Losses'!$B:$H,7,FALSE) + F7*(G7 - VLOOKUP(B7,'Realized Gains &amp; Losses'!$B:$D,3,FALSE))</f>
        <v>1212.4931839999933</v>
      </c>
      <c r="O7" s="22" t="str" cm="1">
        <f t="array" aca="1" ref="O7" ca="1">_FV(B7,"Ticker symbol",TRUE)</f>
        <v>XEQT</v>
      </c>
      <c r="P7" s="55">
        <f>VLOOKUP(B7,'Realized Gains &amp; Losses'!$B:$H,7,0)</f>
        <v>376.18028246852538</v>
      </c>
    </row>
    <row r="8" spans="2:16" x14ac:dyDescent="0.45">
      <c r="B8" s="24" t="e" vm="2">
        <v>#VALUE!</v>
      </c>
      <c r="C8" s="25" t="s">
        <v>50</v>
      </c>
      <c r="D8" s="26" cm="1">
        <f t="array" aca="1" ref="D8" ca="1">_FV(B8,"Market cap",TRUE)</f>
        <v>27770154513.369999</v>
      </c>
      <c r="E8" s="22" t="str">
        <f t="shared" ca="1" si="0"/>
        <v>Large</v>
      </c>
      <c r="F8" s="27">
        <f>SUMIFS('Transaction Log'!$E$3:$E$246,'Transaction Log'!$B$3:$B$246,B8,'Transaction Log'!$C$3:$C$246,"BUY")
-SUMIFS('Transaction Log'!$E$3:$E$246,'Transaction Log'!$B$3:$B$246,B8,'Transaction Log'!$C$3:$C$246,"SELL")</f>
        <v>52.257800000000003</v>
      </c>
      <c r="G8" s="28" cm="1">
        <f t="array" aca="1" ref="G8" ca="1">_FV(B8,"Price")</f>
        <v>168.78</v>
      </c>
      <c r="H8" s="28">
        <f ca="1">F8*G8</f>
        <v>8820.0714840000001</v>
      </c>
      <c r="I8" s="29">
        <f t="shared" ref="I8:I22" ca="1" si="1">H8/SUM(H$7:H$22)</f>
        <v>0.39126365618594955</v>
      </c>
      <c r="J8" s="30" cm="1">
        <f t="array" aca="1" ref="J8" ca="1">IFERROR(_FV(B8,"Beta"), 0)</f>
        <v>0.98280000000000001</v>
      </c>
      <c r="K8" s="37" cm="1">
        <f t="array" aca="1" ref="K8" ca="1">IFERROR(F8*(G8 - _xlfn.FIELDVALUE(B8,"Previous close")),0)</f>
        <v>-61.66420400000036</v>
      </c>
      <c r="L8" s="54" cm="1">
        <f t="array" aca="1" ref="L8" ca="1">IFERROR((G8 -_FV( B8,"Previous close",TRUE)) /_FV( B8,"Previous close",TRUE), 0)</f>
        <v>-6.942810072958383E-3</v>
      </c>
      <c r="M8" s="39">
        <f ca="1">VLOOKUP(B8,'Realized Gains &amp; Losses'!$B:$H,7,FALSE) + F8*(G8 - VLOOKUP(B8,'Realized Gains &amp; Losses'!$B:$D,3,FALSE))</f>
        <v>1394.3414839999957</v>
      </c>
      <c r="O8" s="22" t="str" cm="1">
        <f t="array" aca="1" ref="O8" ca="1">_FV(B8,"Ticker symbol",TRUE)</f>
        <v>VFV</v>
      </c>
      <c r="P8" s="55">
        <f>VLOOKUP(B8,'Realized Gains &amp; Losses'!$B:$H,7,0)</f>
        <v>293.76103107872746</v>
      </c>
    </row>
    <row r="9" spans="2:16" x14ac:dyDescent="0.45">
      <c r="B9" s="24" t="e" vm="3">
        <v>#VALUE!</v>
      </c>
      <c r="C9" s="25" t="s">
        <v>51</v>
      </c>
      <c r="D9" s="26" cm="1">
        <f t="array" aca="1" ref="D9" ca="1">_FV(B9,"Market cap",TRUE)</f>
        <v>3753248843</v>
      </c>
      <c r="E9" s="22" t="str">
        <f t="shared" ca="1" si="0"/>
        <v>Mid</v>
      </c>
      <c r="F9" s="27">
        <f>SUMIFS('Transaction Log'!$E$3:$E$246,'Transaction Log'!$B$3:$B$246,B9,'Transaction Log'!$C$3:$C$246,"BUY")
-SUMIFS('Transaction Log'!$E$3:$E$246,'Transaction Log'!$B$3:$B$246,B9,'Transaction Log'!$C$3:$C$246,"SELL")</f>
        <v>20.007899999999996</v>
      </c>
      <c r="G9" s="28" cm="1">
        <f t="array" aca="1" ref="G9" ca="1">_FV(B9,"Price")</f>
        <v>54.21</v>
      </c>
      <c r="H9" s="28">
        <f ca="1">F9*G9</f>
        <v>1084.6282589999998</v>
      </c>
      <c r="I9" s="29">
        <f t="shared" ca="1" si="1"/>
        <v>4.8114759499259967E-2</v>
      </c>
      <c r="J9" s="30" cm="1">
        <f t="array" aca="1" ref="J9" ca="1">IFERROR(_FV(B9,"Beta"), 0)</f>
        <v>0.96079999999999999</v>
      </c>
      <c r="K9" s="37" cm="1">
        <f t="array" aca="1" ref="K9" ca="1">IFERROR(F9*(G9 - _xlfn.FIELDVALUE(B9,"Previous close")),0)</f>
        <v>-4.0015799999999135</v>
      </c>
      <c r="L9" s="54" cm="1">
        <f t="array" aca="1" ref="L9" ca="1">IFERROR((G9 -_FV( B9,"Previous close",TRUE)) /_FV( B9,"Previous close",TRUE), 0)</f>
        <v>-3.6757948906450239E-3</v>
      </c>
      <c r="M9" s="39">
        <f ca="1">VLOOKUP(B9,'Realized Gains &amp; Losses'!$B:$H,7,FALSE) + F9*(G9 - VLOOKUP(B9,'Realized Gains &amp; Losses'!$B:$D,3,FALSE))</f>
        <v>178.35825899999975</v>
      </c>
      <c r="O9" s="22" t="str" cm="1">
        <f t="array" aca="1" ref="O9" ca="1">_FV(B9,"Ticker symbol",TRUE)</f>
        <v>TEC</v>
      </c>
      <c r="P9" s="55">
        <f>VLOOKUP(B9,'Realized Gains &amp; Losses'!$B:$H,7,0)</f>
        <v>-12.337004309239326</v>
      </c>
    </row>
    <row r="10" spans="2:16" x14ac:dyDescent="0.45">
      <c r="B10" s="24" t="e" vm="4">
        <v>#VALUE!</v>
      </c>
      <c r="C10" s="25" t="s">
        <v>52</v>
      </c>
      <c r="D10" s="26" cm="1">
        <f t="array" aca="1" ref="D10" ca="1">_FV(B10,"Market cap",TRUE)</f>
        <v>4456134000000</v>
      </c>
      <c r="E10" s="22" t="str">
        <f t="shared" ca="1" si="0"/>
        <v>Large</v>
      </c>
      <c r="F10" s="27">
        <f>SUMIFS('Transaction Log'!$E$3:$E$246,'Transaction Log'!$B$3:$B$246,B10,'Transaction Log'!$C$3:$C$246,"BUY")
-SUMIFS('Transaction Log'!$E$3:$E$246,'Transaction Log'!$B$3:$B$246,B10,'Transaction Log'!$C$3:$C$246,"SELL")</f>
        <v>9.0016999999999996</v>
      </c>
      <c r="G10" s="28" cm="1">
        <f t="array" aca="1" ref="G10" ca="1">_FV(B10,"Price")</f>
        <v>41.48</v>
      </c>
      <c r="H10" s="28">
        <f ca="1">F10*G10</f>
        <v>373.39051599999993</v>
      </c>
      <c r="I10" s="29">
        <f t="shared" ca="1" si="1"/>
        <v>1.6563827032506424E-2</v>
      </c>
      <c r="J10" s="30" cm="1">
        <f t="array" aca="1" ref="J10" ca="1">IFERROR(_FV(B10,"Beta"), 0)</f>
        <v>2.3148</v>
      </c>
      <c r="K10" s="37" cm="1">
        <f t="array" aca="1" ref="K10" ca="1">IFERROR(F10*(G10 - _xlfn.FIELDVALUE(B10,"Previous close")),0)</f>
        <v>-1.9803740000000536</v>
      </c>
      <c r="L10" s="54" cm="1">
        <f t="array" aca="1" ref="L10" ca="1">IFERROR((G10 -_FV( B10,"Previous close",TRUE)) /_FV( B10,"Previous close",TRUE), 0)</f>
        <v>-5.2757793764989435E-3</v>
      </c>
      <c r="M10" s="39">
        <f ca="1">VLOOKUP(B10,'Realized Gains &amp; Losses'!$B:$H,7,FALSE) + F10*(G10 - VLOOKUP(B10,'Realized Gains &amp; Losses'!$B:$D,3,FALSE))</f>
        <v>-11.129483999999778</v>
      </c>
      <c r="O10" s="22" t="str" cm="1">
        <f t="array" aca="1" ref="O10" ca="1">_FV(B10,"Ticker symbol",TRUE)</f>
        <v>NVDA</v>
      </c>
      <c r="P10" s="55">
        <f>VLOOKUP(B10,'Realized Gains &amp; Losses'!$B:$H,7,0)</f>
        <v>-83.744089572791992</v>
      </c>
    </row>
    <row r="11" spans="2:16" x14ac:dyDescent="0.45">
      <c r="B11" s="24" t="e" vm="5">
        <v>#VALUE!</v>
      </c>
      <c r="C11" s="25" t="s">
        <v>53</v>
      </c>
      <c r="D11" s="26" cm="1">
        <f t="array" aca="1" ref="D11" ca="1">_FV(B11,"Market cap",TRUE)</f>
        <v>5263395481.96</v>
      </c>
      <c r="E11" s="22" t="str">
        <f t="shared" ca="1" si="0"/>
        <v>Mid</v>
      </c>
      <c r="F11" s="27">
        <f>SUMIFS('Transaction Log'!$E$3:$E$246,'Transaction Log'!$B$3:$B$246,B11,'Transaction Log'!$C$3:$C$246,"BUY")
-SUMIFS('Transaction Log'!$E$3:$E$246,'Transaction Log'!$B$3:$B$246,B11,'Transaction Log'!$C$3:$C$246,"SELL")</f>
        <v>7.046599999999998</v>
      </c>
      <c r="G11" s="28" cm="1">
        <f t="array" aca="1" ref="G11" ca="1">_FV(B11,"Price")</f>
        <v>61.14</v>
      </c>
      <c r="H11" s="28">
        <f t="shared" ref="H11:H22" ca="1" si="2">F11*G11</f>
        <v>430.82912399999987</v>
      </c>
      <c r="I11" s="29">
        <f t="shared" ca="1" si="1"/>
        <v>1.9111838101700102E-2</v>
      </c>
      <c r="J11" s="30" cm="1">
        <f t="array" aca="1" ref="J11" ca="1">IFERROR(_FV(B11,"Beta"), 0)</f>
        <v>0.97899999999999998</v>
      </c>
      <c r="K11" s="37" cm="1">
        <f t="array" aca="1" ref="K11" ca="1">IFERROR(F11*(G11 - _xlfn.FIELDVALUE(B11,"Previous close")),0)</f>
        <v>-7.0465999999985957E-2</v>
      </c>
      <c r="L11" s="54" cm="1">
        <f t="array" aca="1" ref="L11" ca="1">IFERROR((G11 -_FV( B11,"Previous close",TRUE)) /_FV( B11,"Previous close",TRUE), 0)</f>
        <v>-1.6353229762874915E-4</v>
      </c>
      <c r="M11" s="39">
        <f ca="1">VLOOKUP(B11,'Realized Gains &amp; Losses'!$B:$H,7,FALSE) + F11*(G11 - VLOOKUP(B11,'Realized Gains &amp; Losses'!$B:$D,3,FALSE))</f>
        <v>212.28912399999953</v>
      </c>
      <c r="O11" s="22" t="str" cm="1">
        <f t="array" aca="1" ref="O11" ca="1">_FV(B11,"Ticker symbol",TRUE)</f>
        <v>VDY</v>
      </c>
      <c r="P11" s="55">
        <f>VLOOKUP(B11,'Realized Gains &amp; Losses'!$B:$H,7,0)</f>
        <v>123.54245587970567</v>
      </c>
    </row>
    <row r="12" spans="2:16" x14ac:dyDescent="0.45">
      <c r="B12" s="24" t="e" vm="6">
        <v>#VALUE!</v>
      </c>
      <c r="C12" s="25" t="s">
        <v>54</v>
      </c>
      <c r="D12" s="26" cm="1">
        <f t="array" aca="1" ref="D12" ca="1">_FV(B12,"Market cap",TRUE)</f>
        <v>4147722000000</v>
      </c>
      <c r="E12" s="22" t="str">
        <f t="shared" ca="1" si="0"/>
        <v>Large</v>
      </c>
      <c r="F12" s="27">
        <f>SUMIFS('Transaction Log'!$E$3:$E$246,'Transaction Log'!$B$3:$B$246,B12,'Transaction Log'!$C$3:$C$246,"BUY")
-SUMIFS('Transaction Log'!$E$3:$E$246,'Transaction Log'!$B$3:$B$246,B12,'Transaction Log'!$C$3:$C$246,"SELL")</f>
        <v>15.029299999999999</v>
      </c>
      <c r="G12" s="28" cm="1">
        <f t="array" aca="1" ref="G12" ca="1">_FV(B12,"Price")</f>
        <v>39.909999999999997</v>
      </c>
      <c r="H12" s="28">
        <f ca="1">F12*G12</f>
        <v>599.81936299999995</v>
      </c>
      <c r="I12" s="29">
        <f t="shared" ca="1" si="1"/>
        <v>2.6608346365926943E-2</v>
      </c>
      <c r="J12" s="30" cm="1">
        <f t="array" aca="1" ref="J12" ca="1">IFERROR(_FV(B12,"Beta"), 0)</f>
        <v>1.0902000000000001</v>
      </c>
      <c r="K12" s="37" cm="1">
        <f t="array" aca="1" ref="K12" ca="1">IFERROR(F12*(G12 - _xlfn.FIELDVALUE(B12,"Previous close")),0)</f>
        <v>-3.7573249999999998</v>
      </c>
      <c r="L12" s="54" cm="1">
        <f t="array" aca="1" ref="L12" ca="1">IFERROR((G12 -_FV( B12,"Previous close",TRUE)) /_FV( B12,"Previous close",TRUE), 0)</f>
        <v>-6.225099601593626E-3</v>
      </c>
      <c r="M12" s="39">
        <f ca="1">VLOOKUP(B12,'Realized Gains &amp; Losses'!$B:$H,7,FALSE) + F12*(G12 - VLOOKUP(B12,'Realized Gains &amp; Losses'!$B:$D,3,FALSE))</f>
        <v>199.39936299999985</v>
      </c>
      <c r="O12" s="22" t="str" cm="1">
        <f t="array" aca="1" ref="O12" ca="1">_FV(B12,"Ticker symbol",TRUE)</f>
        <v>AAPL</v>
      </c>
      <c r="P12" s="55">
        <f>VLOOKUP(B12,'Realized Gains &amp; Losses'!$B:$H,7,0)</f>
        <v>77.481814301138186</v>
      </c>
    </row>
    <row r="13" spans="2:16" x14ac:dyDescent="0.45">
      <c r="B13" s="24" t="e" vm="7">
        <v>#VALUE!</v>
      </c>
      <c r="C13" s="25" t="s">
        <v>55</v>
      </c>
      <c r="D13" s="26" cm="1">
        <f t="array" aca="1" ref="D13" ca="1">_FV(B13,"Market cap",TRUE)</f>
        <v>2449236000000</v>
      </c>
      <c r="E13" s="22" t="str">
        <f t="shared" ca="1" si="0"/>
        <v>Large</v>
      </c>
      <c r="F13" s="27">
        <f>SUMIFS('Transaction Log'!$E$3:$E$246,'Transaction Log'!$B$3:$B$246,B13,'Transaction Log'!$C$3:$C$246,"BUY")
-SUMIFS('Transaction Log'!$E$3:$E$246,'Transaction Log'!$B$3:$B$246,B13,'Transaction Log'!$C$3:$C$246,"SELL")</f>
        <v>16</v>
      </c>
      <c r="G13" s="28" cm="1">
        <f t="array" aca="1" ref="G13" ca="1">_FV(B13,"Price")</f>
        <v>26.69</v>
      </c>
      <c r="H13" s="28">
        <f t="shared" ca="1" si="2"/>
        <v>427.04</v>
      </c>
      <c r="I13" s="29">
        <f t="shared" ca="1" si="1"/>
        <v>1.8943750290544459E-2</v>
      </c>
      <c r="J13" s="30" cm="1">
        <f t="array" aca="1" ref="J13" ca="1">IFERROR(_FV(B13,"Beta"), 0)</f>
        <v>1.3763000000000001</v>
      </c>
      <c r="K13" s="37" cm="1">
        <f t="array" aca="1" ref="K13" ca="1">IFERROR(F13*(G13 - _xlfn.FIELDVALUE(B13,"Previous close")),0)</f>
        <v>0.48000000000001819</v>
      </c>
      <c r="L13" s="54" cm="1">
        <f t="array" aca="1" ref="L13" ca="1">IFERROR((G13 -_FV( B13,"Previous close",TRUE)) /_FV( B13,"Previous close",TRUE), 0)</f>
        <v>1.1252813203301252E-3</v>
      </c>
      <c r="M13" s="39">
        <f ca="1">VLOOKUP(B13,'Realized Gains &amp; Losses'!$B:$H,7,FALSE) + F13*(G13 - VLOOKUP(B13,'Realized Gains &amp; Losses'!$B:$D,3,FALSE))</f>
        <v>31.590000000000046</v>
      </c>
      <c r="O13" s="22" t="str" cm="1">
        <f t="array" aca="1" ref="O13" ca="1">_FV(B13,"Ticker symbol",TRUE)</f>
        <v>AMZN</v>
      </c>
      <c r="P13" s="55">
        <f>VLOOKUP(B13,'Realized Gains &amp; Losses'!$B:$H,7,0)</f>
        <v>-6.3388888888888886</v>
      </c>
    </row>
    <row r="14" spans="2:16" x14ac:dyDescent="0.45">
      <c r="B14" s="24" t="e" vm="8">
        <v>#VALUE!</v>
      </c>
      <c r="C14" s="25" t="s">
        <v>56</v>
      </c>
      <c r="D14" s="26" cm="1">
        <f t="array" aca="1" ref="D14" ca="1">_FV(B14,"Market cap",TRUE)</f>
        <v>314633618080</v>
      </c>
      <c r="E14" s="22" t="str">
        <f t="shared" ca="1" si="0"/>
        <v>Large</v>
      </c>
      <c r="F14" s="27">
        <f>SUMIFS('Transaction Log'!$E$3:$E$246,'Transaction Log'!$B$3:$B$246,B14,'Transaction Log'!$C$3:$C$246,"BUY")
-SUMIFS('Transaction Log'!$E$3:$E$246,'Transaction Log'!$B$3:$B$246,B14,'Transaction Log'!$C$3:$C$246,"SELL")</f>
        <v>2.0329000000000002</v>
      </c>
      <c r="G14" s="28" cm="1">
        <f t="array" aca="1" ref="G14" ca="1">_FV(B14,"Price")</f>
        <v>224.72</v>
      </c>
      <c r="H14" s="28">
        <f t="shared" ca="1" si="2"/>
        <v>456.83328800000004</v>
      </c>
      <c r="I14" s="29">
        <f t="shared" ca="1" si="1"/>
        <v>2.0265398398933078E-2</v>
      </c>
      <c r="J14" s="30" cm="1">
        <f t="array" aca="1" ref="J14" ca="1">IFERROR(_FV(B14,"Beta"), 0)</f>
        <v>1.0034000000000001</v>
      </c>
      <c r="K14" s="37" cm="1">
        <f t="array" aca="1" ref="K14" ca="1">IFERROR(F14*(G14 - _xlfn.FIELDVALUE(B14,"Previous close")),0)</f>
        <v>1.3417139999999932</v>
      </c>
      <c r="L14" s="54" cm="1">
        <f t="array" aca="1" ref="L14" ca="1">IFERROR((G14 -_FV( B14,"Previous close",TRUE)) /_FV( B14,"Previous close",TRUE), 0)</f>
        <v>2.9456395608319047E-3</v>
      </c>
      <c r="M14" s="39">
        <f ca="1">VLOOKUP(B14,'Realized Gains &amp; Losses'!$B:$H,7,FALSE) + F14*(G14 - VLOOKUP(B14,'Realized Gains &amp; Losses'!$B:$D,3,FALSE))</f>
        <v>125.23328800000002</v>
      </c>
      <c r="O14" s="22" t="str" cm="1">
        <f t="array" aca="1" ref="O14" ca="1">_FV(B14,"Ticker symbol",TRUE)</f>
        <v>RY</v>
      </c>
      <c r="P14" s="55">
        <f>VLOOKUP(B14,'Realized Gains &amp; Losses'!$B:$H,7,0)</f>
        <v>7.1138900062646329</v>
      </c>
    </row>
    <row r="15" spans="2:16" x14ac:dyDescent="0.45">
      <c r="B15" s="24" t="e" vm="9">
        <v>#VALUE!</v>
      </c>
      <c r="C15" s="25" t="s">
        <v>57</v>
      </c>
      <c r="D15" s="26" cm="1">
        <f t="array" aca="1" ref="D15" ca="1">_FV(B15,"Market cap",TRUE)</f>
        <v>145229356080</v>
      </c>
      <c r="E15" s="22" t="str">
        <f t="shared" ca="1" si="0"/>
        <v>Large</v>
      </c>
      <c r="F15" s="27">
        <f>SUMIFS('Transaction Log'!$E$3:$E$246,'Transaction Log'!$B$3:$B$246,B15,'Transaction Log'!$C$3:$C$246,"BUY")
-SUMIFS('Transaction Log'!$E$3:$E$246,'Transaction Log'!$B$3:$B$246,B15,'Transaction Log'!$C$3:$C$246,"SELL")</f>
        <v>1</v>
      </c>
      <c r="G15" s="28" cm="1">
        <f t="array" aca="1" ref="G15" ca="1">_FV(B15,"Price")</f>
        <v>66.58</v>
      </c>
      <c r="H15" s="28">
        <f t="shared" ca="1" si="2"/>
        <v>66.58</v>
      </c>
      <c r="I15" s="29">
        <f t="shared" ca="1" si="1"/>
        <v>2.9535286960107954E-3</v>
      </c>
      <c r="J15" s="30" cm="1">
        <f t="array" aca="1" ref="J15" ca="1">IFERROR(_FV(B15,"Beta"), 0)</f>
        <v>0.82579999999999998</v>
      </c>
      <c r="K15" s="37" cm="1">
        <f t="array" aca="1" ref="K15" ca="1">IFERROR(F15*(G15 - _xlfn.FIELDVALUE(B15,"Previous close")),0)</f>
        <v>-0.68000000000000682</v>
      </c>
      <c r="L15" s="54" cm="1">
        <f t="array" aca="1" ref="L15" ca="1">IFERROR((G15 -_FV( B15,"Previous close",TRUE)) /_FV( B15,"Previous close",TRUE), 0)</f>
        <v>-1.0110020814748837E-2</v>
      </c>
      <c r="M15" s="39">
        <f ca="1">VLOOKUP(B15,'Realized Gains &amp; Losses'!$B:$H,7,FALSE) + F15*(G15 - VLOOKUP(B15,'Realized Gains &amp; Losses'!$B:$D,3,FALSE))</f>
        <v>26.990000000000109</v>
      </c>
      <c r="O15" s="22" t="str" cm="1">
        <f t="array" aca="1" ref="O15" ca="1">_FV(B15,"Ticker symbol",TRUE)</f>
        <v>ENB</v>
      </c>
      <c r="P15" s="55">
        <f>VLOOKUP(B15,'Realized Gains &amp; Losses'!$B:$H,7,0)</f>
        <v>20.530000000000108</v>
      </c>
    </row>
    <row r="16" spans="2:16" x14ac:dyDescent="0.45">
      <c r="B16" s="24" t="e" vm="10">
        <v>#VALUE!</v>
      </c>
      <c r="C16" s="25" t="s">
        <v>58</v>
      </c>
      <c r="D16" s="26" cm="1">
        <f t="array" aca="1" ref="D16" ca="1">_FV(B16,"Market cap",TRUE)</f>
        <v>9720957325</v>
      </c>
      <c r="E16" s="22" t="str">
        <f t="shared" ca="1" si="0"/>
        <v>Mid</v>
      </c>
      <c r="F16" s="27">
        <f>SUMIFS('Transaction Log'!$E$3:$E$246,'Transaction Log'!$B$3:$B$246,B16,'Transaction Log'!$C$3:$C$246,"BUY")
-SUMIFS('Transaction Log'!$E$3:$E$246,'Transaction Log'!$B$3:$B$246,B16,'Transaction Log'!$C$3:$C$246,"SELL")</f>
        <v>2</v>
      </c>
      <c r="G16" s="28" cm="1">
        <f t="array" aca="1" ref="G16" ca="1">_FV(B16,"Price")</f>
        <v>62.35</v>
      </c>
      <c r="H16" s="28">
        <f t="shared" ca="1" si="2"/>
        <v>124.7</v>
      </c>
      <c r="I16" s="29">
        <f ca="1">H16/SUM(H$7:H$22)</f>
        <v>5.5317667226276093E-3</v>
      </c>
      <c r="J16" s="30" cm="1">
        <f t="array" aca="1" ref="J16" ca="1">IFERROR(_FV(B16,"Beta"), 0)</f>
        <v>0.3876</v>
      </c>
      <c r="K16" s="37" cm="1">
        <f t="array" aca="1" ref="K16" ca="1">IFERROR(F16*(G16 - _xlfn.FIELDVALUE(B16,"Previous close")),0)</f>
        <v>-6.0000000000002274E-2</v>
      </c>
      <c r="L16" s="54" cm="1">
        <f t="array" aca="1" ref="L16" ca="1">IFERROR((G16 -_FV( B16,"Previous close",TRUE)) /_FV( B16,"Previous close",TRUE), 0)</f>
        <v>-4.8092337287593999E-4</v>
      </c>
      <c r="M16" s="39">
        <f ca="1">VLOOKUP(B16,'Realized Gains &amp; Losses'!$B:$H,7,FALSE) + F16*(G16 - VLOOKUP(B16,'Realized Gains &amp; Losses'!$B:$D,3,FALSE))</f>
        <v>-44.829999999999977</v>
      </c>
      <c r="O16" s="22" t="str" cm="1">
        <f t="array" aca="1" ref="O16" ca="1">_FV(B16,"Ticker symbol",TRUE)</f>
        <v>CPX</v>
      </c>
      <c r="P16" s="55">
        <f>VLOOKUP(B16,'Realized Gains &amp; Losses'!$B:$H,7,0)</f>
        <v>-49.923846153846149</v>
      </c>
    </row>
    <row r="17" spans="2:16" x14ac:dyDescent="0.45">
      <c r="B17" s="24" t="e" vm="11">
        <v>#VALUE!</v>
      </c>
      <c r="C17" s="25" t="s">
        <v>59</v>
      </c>
      <c r="D17" s="26" cm="1">
        <f t="array" aca="1" ref="D17" ca="1">_FV(B17,"Market cap",TRUE)</f>
        <v>1466567554.51</v>
      </c>
      <c r="E17" s="22" t="str">
        <f t="shared" ca="1" si="0"/>
        <v>Small</v>
      </c>
      <c r="F17" s="27">
        <f>SUMIFS('Transaction Log'!$E$3:$E$246,'Transaction Log'!$B$3:$B$246,B17,'Transaction Log'!$C$3:$C$246,"BUY")
-SUMIFS('Transaction Log'!$E$3:$E$246,'Transaction Log'!$B$3:$B$246,B17,'Transaction Log'!$C$3:$C$246,"SELL")</f>
        <v>56</v>
      </c>
      <c r="G17" s="28" cm="1">
        <f t="array" aca="1" ref="G17" ca="1">_FV(B17,"Price")</f>
        <v>23.36</v>
      </c>
      <c r="H17" s="28">
        <f t="shared" ca="1" si="2"/>
        <v>1308.1599999999999</v>
      </c>
      <c r="I17" s="29">
        <f t="shared" ca="1" si="1"/>
        <v>5.8030761474519098E-2</v>
      </c>
      <c r="J17" s="30" cm="1">
        <f t="array" ref="J17">IFERROR(_FV(B17,"Beta"), 0)</f>
        <v>0</v>
      </c>
      <c r="K17" s="37" cm="1">
        <f t="array" aca="1" ref="K17" ca="1">IFERROR(F17*(G17 - _xlfn.FIELDVALUE(B17,"Previous close")),0)</f>
        <v>-6.1599999999999682</v>
      </c>
      <c r="L17" s="54" cm="1">
        <f t="array" aca="1" ref="L17" ca="1">IFERROR((G17 -_FV( B17,"Previous close",TRUE)) /_FV( B17,"Previous close",TRUE), 0)</f>
        <v>-4.686834256497633E-3</v>
      </c>
      <c r="M17" s="39">
        <f ca="1">VLOOKUP(B17,'Realized Gains &amp; Losses'!$B:$H,7,FALSE) + F17*(G17 - VLOOKUP(B17,'Realized Gains &amp; Losses'!$B:$D,3,FALSE))</f>
        <v>183.47999999999979</v>
      </c>
      <c r="O17" s="22" t="str" cm="1">
        <f t="array" aca="1" ref="O17" ca="1">_FV(B17,"Ticker symbol",TRUE)</f>
        <v>FINN</v>
      </c>
      <c r="P17" s="55">
        <f>VLOOKUP(B17,'Realized Gains &amp; Losses'!$B:$H,7,0)</f>
        <v>-36.220000000000113</v>
      </c>
    </row>
    <row r="18" spans="2:16" x14ac:dyDescent="0.45">
      <c r="B18" s="24" t="e" vm="12">
        <v>#VALUE!</v>
      </c>
      <c r="C18" s="25" t="s">
        <v>60</v>
      </c>
      <c r="D18" s="26" cm="1">
        <f t="array" aca="1" ref="D18" ca="1">_FV(B18,"Market cap",TRUE)</f>
        <v>16349696544</v>
      </c>
      <c r="E18" s="22" t="str">
        <f t="shared" ca="1" si="0"/>
        <v>Large</v>
      </c>
      <c r="F18" s="27">
        <f>SUMIFS('Transaction Log'!$E$3:$E$246,'Transaction Log'!$B$3:$B$246,B18,'Transaction Log'!$C$3:$C$246,"BUY")
-SUMIFS('Transaction Log'!$E$3:$E$246,'Transaction Log'!$B$3:$B$246,B18,'Transaction Log'!$C$3:$C$246,"SELL")</f>
        <v>1</v>
      </c>
      <c r="G18" s="28" cm="1">
        <f t="array" aca="1" ref="G18" ca="1">_FV(B18,"Price")</f>
        <v>104.64</v>
      </c>
      <c r="H18" s="28">
        <f t="shared" ca="1" si="2"/>
        <v>104.64</v>
      </c>
      <c r="I18" s="29">
        <f ca="1">H18/SUM(H$7:H$22)</f>
        <v>4.6418931022915236E-3</v>
      </c>
      <c r="J18" s="30" cm="1">
        <f t="array" aca="1" ref="J18" ca="1">IFERROR(_FV(B18,"Beta"), 0)</f>
        <v>0.73540000000000005</v>
      </c>
      <c r="K18" s="37" cm="1">
        <f t="array" aca="1" ref="K18" ca="1">IFERROR(F18*(G18 - _xlfn.FIELDVALUE(B18,"Previous close")),0)</f>
        <v>-7.0100000000000051</v>
      </c>
      <c r="L18" s="54" cm="1">
        <f t="array" aca="1" ref="L18" ca="1">IFERROR((G18 -_FV( B18,"Previous close",TRUE)) /_FV( B18,"Previous close",TRUE), 0)</f>
        <v>-6.2785490371697311E-2</v>
      </c>
      <c r="M18" s="39">
        <f ca="1">VLOOKUP(B18,'Realized Gains &amp; Losses'!$B:$H,7,FALSE) + F18*(G18 - VLOOKUP(B18,'Realized Gains &amp; Losses'!$B:$D,3,FALSE))</f>
        <v>25.430000000000007</v>
      </c>
      <c r="O18" s="22" t="str" cm="1">
        <f t="array" aca="1" ref="O18" ca="1">_FV(B18,"Ticker symbol",TRUE)</f>
        <v>OKLO</v>
      </c>
      <c r="P18" s="55">
        <f>VLOOKUP(B18,'Realized Gains &amp; Losses'!$B:$H,7,0)</f>
        <v>0</v>
      </c>
    </row>
    <row r="19" spans="2:16" x14ac:dyDescent="0.45">
      <c r="B19" s="24" t="e" vm="13">
        <v>#VALUE!</v>
      </c>
      <c r="C19" s="25" t="s">
        <v>61</v>
      </c>
      <c r="D19" s="32" t="str" cm="1">
        <f t="array" ref="D19">IFERROR(_xlfn.FIELDVALUE(B19, "Market cap"), "N/A")</f>
        <v>N/A</v>
      </c>
      <c r="E19" s="22" t="str">
        <f>IF(ISNUMBER(D19),IF(D19&gt;10000000000,"Large",IF(D19&gt;2000000000,"Mid","Small")),"N/A")</f>
        <v>N/A</v>
      </c>
      <c r="F19" s="27">
        <f>SUMIFS('Transaction Log'!$E$3:$E$246,'Transaction Log'!$B$3:$B$246,B19,'Transaction Log'!$C$3:$C$246,"BUY")
-SUMIFS('Transaction Log'!$E$3:$E$246,'Transaction Log'!$B$3:$B$246,B19,'Transaction Log'!$C$3:$C$246,"SELL")</f>
        <v>66.622299999999996</v>
      </c>
      <c r="G19" s="28" cm="1">
        <f t="array" aca="1" ref="G19" ca="1">_FV(B19,"Price")</f>
        <v>49.85</v>
      </c>
      <c r="H19" s="28">
        <f t="shared" ca="1" si="2"/>
        <v>3321.1216549999999</v>
      </c>
      <c r="I19" s="29">
        <f t="shared" ca="1" si="1"/>
        <v>0.1473269466954846</v>
      </c>
      <c r="J19" s="30" cm="1">
        <f t="array" ref="J19">IFERROR(_FV(B19,"Beta"), 0)</f>
        <v>0</v>
      </c>
      <c r="K19" s="37" cm="1">
        <f t="array" aca="1" ref="K19" ca="1">IFERROR(F19*(G19 - _xlfn.FIELDVALUE(B19,"Previous close")),0)</f>
        <v>0</v>
      </c>
      <c r="L19" s="54" cm="1">
        <f t="array" aca="1" ref="L19" ca="1">IFERROR((G19 -_FV( B19,"Previous close",TRUE)) /_FV( B19,"Previous close",TRUE), 0)</f>
        <v>0</v>
      </c>
      <c r="M19" s="39">
        <f ca="1">VLOOKUP(B19,'Realized Gains &amp; Losses'!$B:$H,7,FALSE) + F19*(G19 - VLOOKUP(B19,'Realized Gains &amp; Losses'!$B:$D,3,FALSE))</f>
        <v>91.981654999999137</v>
      </c>
      <c r="O19" s="22" t="str" cm="1">
        <f t="array" aca="1" ref="O19" ca="1">_FV(B19,"Ticker symbol",TRUE)</f>
        <v>ZMMK</v>
      </c>
      <c r="P19" s="55">
        <f>VLOOKUP(B19,'Realized Gains &amp; Losses'!$B:$H,7,0)</f>
        <v>97.031822467290084</v>
      </c>
    </row>
    <row r="20" spans="2:16" x14ac:dyDescent="0.45">
      <c r="B20" s="24" t="e" vm="14">
        <v>#VALUE!</v>
      </c>
      <c r="C20" s="25" t="s">
        <v>62</v>
      </c>
      <c r="D20" s="26" cm="1">
        <f t="array" aca="1" ref="D20" ca="1">_FV(B20,"Market cap",TRUE)</f>
        <v>5627854000</v>
      </c>
      <c r="E20" s="22" t="str">
        <f t="shared" ref="E20:E22" ca="1" si="3">IF(ISNUMBER(D20),IF(D20&gt;10000000000,"Large",IF(D20&gt;2000000000,"Mid","Small")),"N/A")</f>
        <v>Mid</v>
      </c>
      <c r="F20" s="27">
        <f>SUMIFS('Transaction Log'!$E$3:$E$246,'Transaction Log'!$B$3:$B$246,B20,'Transaction Log'!$C$3:$C$246,"BUY")
-SUMIFS('Transaction Log'!$E$3:$E$246,'Transaction Log'!$B$3:$B$246,B20,'Transaction Log'!$C$3:$C$246,"SELL")</f>
        <v>10</v>
      </c>
      <c r="G20" s="28" cm="1">
        <f t="array" aca="1" ref="G20" ca="1">_FV(B20,"Price")</f>
        <v>18.87</v>
      </c>
      <c r="H20" s="28">
        <f t="shared" ca="1" si="2"/>
        <v>188.70000000000002</v>
      </c>
      <c r="I20" s="29">
        <f t="shared" ca="1" si="1"/>
        <v>8.3708450726530069E-3</v>
      </c>
      <c r="J20" s="30" cm="1">
        <f t="array" aca="1" ref="J20" ca="1">IFERROR(_FV(B20,"Beta"), 0)</f>
        <v>1.7181999999999999</v>
      </c>
      <c r="K20" s="37" cm="1">
        <f t="array" aca="1" ref="K20" ca="1">IFERROR(F20*(G20 - _xlfn.FIELDVALUE(B20,"Previous close")),0)</f>
        <v>-1.1999999999999744</v>
      </c>
      <c r="L20" s="54" cm="1">
        <f t="array" aca="1" ref="L20" ca="1">IFERROR((G20 -_FV( B20,"Previous close",TRUE)) /_FV( B20,"Previous close",TRUE), 0)</f>
        <v>-6.3191153238545258E-3</v>
      </c>
      <c r="M20" s="39">
        <f ca="1">VLOOKUP(B20,'Realized Gains &amp; Losses'!$B:$H,7,FALSE) + F20*(G20 - VLOOKUP(B20,'Realized Gains &amp; Losses'!$B:$D,3,FALSE))</f>
        <v>-4.9999999999999645</v>
      </c>
      <c r="O20" s="22" t="str" cm="1">
        <f t="array" aca="1" ref="O20" ca="1">_FV(B20,"Ticker symbol",TRUE)</f>
        <v>AC</v>
      </c>
      <c r="P20" s="55">
        <f>VLOOKUP(B20,'Realized Gains &amp; Losses'!$B:$H,7,0)</f>
        <v>0</v>
      </c>
    </row>
    <row r="21" spans="2:16" x14ac:dyDescent="0.45">
      <c r="B21" s="24" t="e" vm="15">
        <v>#VALUE!</v>
      </c>
      <c r="C21" s="25" t="s">
        <v>63</v>
      </c>
      <c r="D21" s="26" cm="1">
        <f t="array" aca="1" ref="D21" ca="1">_FV(B21,"Market cap",TRUE)</f>
        <v>80494825728</v>
      </c>
      <c r="E21" s="22" t="str">
        <f t="shared" ca="1" si="3"/>
        <v>Large</v>
      </c>
      <c r="F21" s="27">
        <f>SUMIFS('Transaction Log'!$E$3:$E$246,'Transaction Log'!$B$3:$B$246,B21,'Transaction Log'!$C$3:$C$246,"BUY")
-SUMIFS('Transaction Log'!$E$3:$E$246,'Transaction Log'!$B$3:$B$246,B21,'Transaction Log'!$C$3:$C$246,"SELL")</f>
        <v>1</v>
      </c>
      <c r="G21" s="28" cm="1">
        <f t="array" aca="1" ref="G21" ca="1">_FV(B21,"Price")</f>
        <v>94.88</v>
      </c>
      <c r="H21" s="28">
        <f t="shared" ca="1" si="2"/>
        <v>94.88</v>
      </c>
      <c r="I21" s="29">
        <f t="shared" ca="1" si="1"/>
        <v>4.2089336539126504E-3</v>
      </c>
      <c r="J21" s="30" cm="1">
        <f t="array" aca="1" ref="J21" ca="1">IFERROR(_FV(B21,"Beta"), 0)</f>
        <v>1.1020000000000001</v>
      </c>
      <c r="K21" s="37" cm="1">
        <f t="array" aca="1" ref="K21" ca="1">IFERROR(F21*(G21 - _xlfn.FIELDVALUE(B21,"Previous close")),0)</f>
        <v>0.11999999999999034</v>
      </c>
      <c r="L21" s="54" cm="1">
        <f t="array" aca="1" ref="L21" ca="1">IFERROR((G21 -_FV( B21,"Previous close",TRUE)) /_FV( B21,"Previous close",TRUE), 0)</f>
        <v>1.266357112705681E-3</v>
      </c>
      <c r="M21" s="39">
        <f ca="1">VLOOKUP(B21,'Realized Gains &amp; Losses'!$B:$H,7,FALSE) + F21*(G21 - VLOOKUP(B21,'Realized Gains &amp; Losses'!$B:$D,3,FALSE))</f>
        <v>-27.350000000000009</v>
      </c>
      <c r="O21" s="22" t="str" cm="1">
        <f t="array" aca="1" ref="O21" ca="1">_FV(B21,"Ticker symbol",TRUE)</f>
        <v>UPS</v>
      </c>
      <c r="P21" s="55">
        <f>VLOOKUP(B21,'Realized Gains &amp; Losses'!$B:$H,7,0)</f>
        <v>0</v>
      </c>
    </row>
    <row r="22" spans="2:16" x14ac:dyDescent="0.45">
      <c r="B22" s="33" t="e" vm="16">
        <v>#VALUE!</v>
      </c>
      <c r="C22" s="25" t="s">
        <v>64</v>
      </c>
      <c r="D22" s="26" cm="1">
        <f t="array" aca="1" ref="D22" ca="1">_FV(B22,"Market cap",TRUE)</f>
        <v>12348752412.17</v>
      </c>
      <c r="E22" s="22" t="str">
        <f t="shared" ca="1" si="3"/>
        <v>Large</v>
      </c>
      <c r="F22" s="27">
        <f>SUMIFS('Transaction Log'!$E$3:$E$246,'Transaction Log'!$B$3:$B$246,B22,'Transaction Log'!$C$3:$C$246,"BUY")
-SUMIFS('Transaction Log'!$E$3:$E$246,'Transaction Log'!$B$3:$B$246,B22,'Transaction Log'!$C$3:$C$246,"SELL")</f>
        <v>3</v>
      </c>
      <c r="G22" s="28" cm="1">
        <f t="array" aca="1" ref="G22" ca="1">_FV(B22,"Price")</f>
        <v>63.92</v>
      </c>
      <c r="H22" s="28">
        <f t="shared" ca="1" si="2"/>
        <v>191.76</v>
      </c>
      <c r="I22" s="29">
        <f t="shared" ca="1" si="1"/>
        <v>8.5065885062635942E-3</v>
      </c>
      <c r="J22" s="30" cm="1">
        <f t="array" aca="1" ref="J22" ca="1">IFERROR(_FV(B22,"Beta"), 0)</f>
        <v>0.99919999999999998</v>
      </c>
      <c r="K22" s="37" cm="1">
        <f t="array" aca="1" ref="K22" ca="1">IFERROR(F22*(G22 - _xlfn.FIELDVALUE(B22,"Previous close")),0)</f>
        <v>-1.1100000000000136</v>
      </c>
      <c r="L22" s="54" cm="1">
        <f t="array" aca="1" ref="L22" ca="1">IFERROR((G22 -_FV( B22,"Previous close",TRUE)) /_FV( B22,"Previous close",TRUE), 0)</f>
        <v>-5.7551718774304641E-3</v>
      </c>
      <c r="M22" s="39">
        <f ca="1">VLOOKUP(B22,'Realized Gains &amp; Losses'!$B:$H,7,FALSE) + F22*(G22 - VLOOKUP(B22,'Realized Gains &amp; Losses'!$B:$D,3,FALSE))</f>
        <v>7.269999999999996</v>
      </c>
      <c r="O22" s="22" t="str" cm="1">
        <f t="array" aca="1" ref="O22" ca="1">_FV(B22,"Ticker symbol",TRUE)</f>
        <v>VCN</v>
      </c>
      <c r="P22" s="55">
        <f>VLOOKUP(B22,'Realized Gains &amp; Losses'!$B:$H,7,0)</f>
        <v>0</v>
      </c>
    </row>
    <row r="23" spans="2:16" x14ac:dyDescent="0.45">
      <c r="B23" s="72" t="s">
        <v>65</v>
      </c>
      <c r="C23" s="74"/>
      <c r="D23" s="74"/>
      <c r="E23" s="74"/>
      <c r="F23" s="74"/>
      <c r="G23" s="74"/>
      <c r="H23" s="74"/>
      <c r="I23" s="74"/>
      <c r="J23" s="74"/>
      <c r="K23" s="74"/>
      <c r="L23" s="74"/>
      <c r="M23" s="73"/>
      <c r="P23" s="31"/>
    </row>
    <row r="24" spans="2:16" ht="5.25" customHeight="1" x14ac:dyDescent="0.45"/>
    <row r="25" spans="2:16" x14ac:dyDescent="0.45">
      <c r="L25" s="72" t="s">
        <v>66</v>
      </c>
      <c r="M25" s="73"/>
      <c r="O25" s="28"/>
    </row>
    <row r="26" spans="2:16" x14ac:dyDescent="0.45">
      <c r="C26" s="23"/>
      <c r="D26" s="34"/>
      <c r="L26" s="35" t="s">
        <v>67</v>
      </c>
      <c r="M26" s="59">
        <f ca="1">SUM(M7:M22)+(SUM('Realized Gains &amp; Losses'!H4:H29)-SUM(Dashboard!P7:P22))</f>
        <v>3629.1068729999879</v>
      </c>
    </row>
    <row r="27" spans="2:16" x14ac:dyDescent="0.45">
      <c r="H27" s="28"/>
      <c r="L27" s="36" t="s">
        <v>68</v>
      </c>
      <c r="M27" s="60">
        <f ca="1">SUM(K7:K22)</f>
        <v>-124.13866700000054</v>
      </c>
    </row>
    <row r="28" spans="2:16" x14ac:dyDescent="0.45">
      <c r="L28" s="36" t="s">
        <v>69</v>
      </c>
      <c r="M28" s="58">
        <f ca="1">SUMPRODUCT(I7:I22,L7:L22)</f>
        <v>-5.4506774412270533E-3</v>
      </c>
    </row>
  </sheetData>
  <mergeCells count="5">
    <mergeCell ref="L25:M25"/>
    <mergeCell ref="B23:M23"/>
    <mergeCell ref="B2:M3"/>
    <mergeCell ref="B5:M5"/>
    <mergeCell ref="O5:P5"/>
  </mergeCells>
  <conditionalFormatting sqref="K7:M22 M26:M28">
    <cfRule type="cellIs" dxfId="1" priority="1" operator="greaterThan">
      <formula>0</formula>
    </cfRule>
    <cfRule type="cellIs" dxfId="0" priority="2" operator="lessThan">
      <formula>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1153F-5429-452E-956B-458B4565F060}">
  <dimension ref="B1:J246"/>
  <sheetViews>
    <sheetView showGridLines="0" topLeftCell="A223" zoomScale="81" zoomScaleNormal="100" workbookViewId="0">
      <selection activeCell="N230" sqref="N230"/>
    </sheetView>
  </sheetViews>
  <sheetFormatPr defaultRowHeight="14.25" x14ac:dyDescent="0.45"/>
  <cols>
    <col min="1" max="1" width="1" customWidth="1"/>
    <col min="2" max="2" width="40.59765625" bestFit="1" customWidth="1"/>
    <col min="3" max="3" width="13.3984375" customWidth="1"/>
    <col min="4" max="4" width="10.73046875" bestFit="1" customWidth="1"/>
    <col min="5" max="5" width="10.59765625" customWidth="1"/>
    <col min="6" max="6" width="11.1328125" bestFit="1" customWidth="1"/>
    <col min="7" max="7" width="10.73046875" customWidth="1"/>
    <col min="8" max="8" width="14.59765625" customWidth="1"/>
  </cols>
  <sheetData>
    <row r="1" spans="2:10" ht="6" customHeight="1" x14ac:dyDescent="0.45">
      <c r="F1" s="4"/>
      <c r="G1" s="4"/>
      <c r="H1" s="4"/>
    </row>
    <row r="2" spans="2:10" x14ac:dyDescent="0.45">
      <c r="B2" s="20" t="s">
        <v>70</v>
      </c>
      <c r="C2" s="20" t="s">
        <v>71</v>
      </c>
      <c r="D2" s="20" t="s">
        <v>1</v>
      </c>
      <c r="E2" s="20" t="s">
        <v>72</v>
      </c>
      <c r="F2" s="20" t="s">
        <v>73</v>
      </c>
      <c r="G2" s="20" t="s">
        <v>74</v>
      </c>
      <c r="H2" s="20" t="s">
        <v>75</v>
      </c>
    </row>
    <row r="3" spans="2:10" x14ac:dyDescent="0.45">
      <c r="B3" t="e" vm="1">
        <v>#VALUE!</v>
      </c>
      <c r="C3" t="s">
        <v>76</v>
      </c>
      <c r="D3" s="19">
        <v>45477</v>
      </c>
      <c r="E3">
        <v>1</v>
      </c>
      <c r="F3" s="4">
        <v>30.83</v>
      </c>
      <c r="G3" s="4"/>
      <c r="H3" s="4">
        <f>'Transaction Log'!$F3*'Transaction Log'!$E3</f>
        <v>30.83</v>
      </c>
    </row>
    <row r="4" spans="2:10" x14ac:dyDescent="0.45">
      <c r="B4" t="e" vm="2">
        <v>#VALUE!</v>
      </c>
      <c r="C4" t="s">
        <v>76</v>
      </c>
      <c r="D4" s="19">
        <v>45477</v>
      </c>
      <c r="E4">
        <v>0.25069999999999998</v>
      </c>
      <c r="F4" s="4">
        <v>133.22696449940167</v>
      </c>
      <c r="G4" s="4"/>
      <c r="H4" s="4">
        <f>'Transaction Log'!$F4*'Transaction Log'!$E4</f>
        <v>33.4</v>
      </c>
    </row>
    <row r="5" spans="2:10" x14ac:dyDescent="0.45">
      <c r="B5" t="e" vm="1">
        <v>#VALUE!</v>
      </c>
      <c r="C5" t="s">
        <v>76</v>
      </c>
      <c r="D5" s="19">
        <v>45477</v>
      </c>
      <c r="E5">
        <v>1.1566000000000001</v>
      </c>
      <c r="F5" s="4">
        <v>30.926854573750649</v>
      </c>
      <c r="G5" s="4"/>
      <c r="H5" s="4">
        <f>'Transaction Log'!$F5*'Transaction Log'!$E5</f>
        <v>35.770000000000003</v>
      </c>
    </row>
    <row r="6" spans="2:10" x14ac:dyDescent="0.45">
      <c r="B6" t="e" vm="1">
        <v>#VALUE!</v>
      </c>
      <c r="C6" t="s">
        <v>76</v>
      </c>
      <c r="D6" s="19">
        <v>45478</v>
      </c>
      <c r="E6">
        <v>25.781500000000001</v>
      </c>
      <c r="F6" s="4">
        <v>31.030002133312646</v>
      </c>
      <c r="G6" s="4"/>
      <c r="H6" s="4">
        <f>'Transaction Log'!$F6*'Transaction Log'!$E6</f>
        <v>800</v>
      </c>
    </row>
    <row r="7" spans="2:10" x14ac:dyDescent="0.45">
      <c r="B7" t="e" vm="3">
        <v>#VALUE!</v>
      </c>
      <c r="C7" t="s">
        <v>76</v>
      </c>
      <c r="D7" s="19">
        <v>45478</v>
      </c>
      <c r="E7">
        <v>0.6109</v>
      </c>
      <c r="F7" s="4">
        <v>40.923228024226553</v>
      </c>
      <c r="G7" s="4"/>
      <c r="H7" s="4">
        <f>'Transaction Log'!$F7*'Transaction Log'!$E7</f>
        <v>25</v>
      </c>
    </row>
    <row r="8" spans="2:10" x14ac:dyDescent="0.45">
      <c r="B8" t="e" vm="4">
        <v>#VALUE!</v>
      </c>
      <c r="C8" t="s">
        <v>76</v>
      </c>
      <c r="D8" s="19">
        <v>45481</v>
      </c>
      <c r="E8">
        <v>1</v>
      </c>
      <c r="F8" s="4">
        <v>120.27</v>
      </c>
      <c r="G8" s="4"/>
      <c r="H8" s="4">
        <f>'Transaction Log'!$F8*'Transaction Log'!$E8</f>
        <v>120.27</v>
      </c>
    </row>
    <row r="9" spans="2:10" x14ac:dyDescent="0.45">
      <c r="B9" t="e" vm="17">
        <v>#VALUE!</v>
      </c>
      <c r="C9" t="s">
        <v>76</v>
      </c>
      <c r="D9" s="19">
        <v>45481</v>
      </c>
      <c r="E9">
        <v>2</v>
      </c>
      <c r="F9" s="4">
        <v>25.08</v>
      </c>
      <c r="G9" s="4"/>
      <c r="H9" s="4">
        <f>'Transaction Log'!$F9*'Transaction Log'!$E9</f>
        <v>50.16</v>
      </c>
    </row>
    <row r="10" spans="2:10" x14ac:dyDescent="0.45">
      <c r="B10" t="e" vm="2">
        <v>#VALUE!</v>
      </c>
      <c r="C10" t="s">
        <v>76</v>
      </c>
      <c r="D10" s="19">
        <v>45481</v>
      </c>
      <c r="E10">
        <v>2</v>
      </c>
      <c r="F10" s="4">
        <v>133.80000000000001</v>
      </c>
      <c r="G10" s="4"/>
      <c r="H10" s="4">
        <f>'Transaction Log'!$F10*'Transaction Log'!$E10</f>
        <v>267.60000000000002</v>
      </c>
      <c r="J10" s="7"/>
    </row>
    <row r="11" spans="2:10" x14ac:dyDescent="0.45">
      <c r="B11" t="e" vm="3">
        <v>#VALUE!</v>
      </c>
      <c r="C11" t="s">
        <v>76</v>
      </c>
      <c r="D11" s="19">
        <v>45481</v>
      </c>
      <c r="E11">
        <v>1.4685999999999999</v>
      </c>
      <c r="F11" s="4">
        <v>41.182078169685418</v>
      </c>
      <c r="G11" s="4"/>
      <c r="H11" s="4">
        <f>'Transaction Log'!$F11*'Transaction Log'!$E11</f>
        <v>60.480000000000004</v>
      </c>
    </row>
    <row r="12" spans="2:10" x14ac:dyDescent="0.45">
      <c r="B12" t="e" vm="1">
        <v>#VALUE!</v>
      </c>
      <c r="C12" t="s">
        <v>76</v>
      </c>
      <c r="D12" s="19">
        <v>45481</v>
      </c>
      <c r="E12">
        <v>16.118600000000001</v>
      </c>
      <c r="F12" s="4">
        <v>31.020063777251124</v>
      </c>
      <c r="G12" s="4"/>
      <c r="H12" s="4">
        <f>'Transaction Log'!$F12*'Transaction Log'!$E12</f>
        <v>500</v>
      </c>
    </row>
    <row r="13" spans="2:10" x14ac:dyDescent="0.45">
      <c r="B13" t="e" vm="5">
        <v>#VALUE!</v>
      </c>
      <c r="C13" t="s">
        <v>76</v>
      </c>
      <c r="D13" s="19">
        <v>45481</v>
      </c>
      <c r="E13">
        <v>0.4924</v>
      </c>
      <c r="F13" s="4">
        <v>43.643379366368805</v>
      </c>
      <c r="G13" s="4"/>
      <c r="H13" s="4">
        <f>'Transaction Log'!$F13*'Transaction Log'!$E13</f>
        <v>21.49</v>
      </c>
    </row>
    <row r="14" spans="2:10" x14ac:dyDescent="0.45">
      <c r="B14" t="e" vm="18">
        <v>#VALUE!</v>
      </c>
      <c r="C14" t="s">
        <v>76</v>
      </c>
      <c r="D14" s="19">
        <v>45482</v>
      </c>
      <c r="E14">
        <v>2</v>
      </c>
      <c r="F14" s="4">
        <v>50.06</v>
      </c>
      <c r="G14" s="4"/>
      <c r="H14" s="4">
        <f>'Transaction Log'!$F14*'Transaction Log'!$E14</f>
        <v>100.12</v>
      </c>
    </row>
    <row r="15" spans="2:10" x14ac:dyDescent="0.45">
      <c r="B15" t="e" vm="3">
        <v>#VALUE!</v>
      </c>
      <c r="C15" t="s">
        <v>76</v>
      </c>
      <c r="D15" s="19">
        <v>45483</v>
      </c>
      <c r="E15">
        <v>2</v>
      </c>
      <c r="F15" s="4">
        <v>41.55</v>
      </c>
      <c r="G15" s="4"/>
      <c r="H15" s="4">
        <f>'Transaction Log'!$F15*'Transaction Log'!$E15</f>
        <v>83.1</v>
      </c>
    </row>
    <row r="16" spans="2:10" x14ac:dyDescent="0.45">
      <c r="B16" t="e" vm="6">
        <v>#VALUE!</v>
      </c>
      <c r="C16" t="s">
        <v>76</v>
      </c>
      <c r="D16" s="19">
        <v>45483</v>
      </c>
      <c r="E16">
        <v>1</v>
      </c>
      <c r="F16" s="4">
        <v>33.65</v>
      </c>
      <c r="G16" s="4"/>
      <c r="H16" s="4">
        <f>'Transaction Log'!$F16*'Transaction Log'!$E16</f>
        <v>33.65</v>
      </c>
    </row>
    <row r="17" spans="2:8" x14ac:dyDescent="0.45">
      <c r="B17" t="e" vm="19">
        <v>#VALUE!</v>
      </c>
      <c r="C17" t="s">
        <v>76</v>
      </c>
      <c r="D17" s="19">
        <v>45483</v>
      </c>
      <c r="E17">
        <v>1</v>
      </c>
      <c r="F17" s="4">
        <v>114.89</v>
      </c>
      <c r="G17" s="4"/>
      <c r="H17" s="4">
        <f>'Transaction Log'!$F17*'Transaction Log'!$E17</f>
        <v>114.89</v>
      </c>
    </row>
    <row r="18" spans="2:8" x14ac:dyDescent="0.45">
      <c r="B18" t="e" vm="18">
        <v>#VALUE!</v>
      </c>
      <c r="C18" t="s">
        <v>76</v>
      </c>
      <c r="D18" s="19">
        <v>45483</v>
      </c>
      <c r="E18">
        <v>1</v>
      </c>
      <c r="F18" s="4">
        <v>50.06</v>
      </c>
      <c r="G18" s="4"/>
      <c r="H18" s="4">
        <f>'Transaction Log'!$F18*'Transaction Log'!$E18</f>
        <v>50.06</v>
      </c>
    </row>
    <row r="19" spans="2:8" x14ac:dyDescent="0.45">
      <c r="B19" t="e" vm="2">
        <v>#VALUE!</v>
      </c>
      <c r="C19" t="s">
        <v>76</v>
      </c>
      <c r="D19" s="19">
        <v>45483</v>
      </c>
      <c r="E19">
        <v>3</v>
      </c>
      <c r="F19" s="4">
        <v>135</v>
      </c>
      <c r="G19" s="4"/>
      <c r="H19" s="4">
        <f>'Transaction Log'!$F19*'Transaction Log'!$E19</f>
        <v>405</v>
      </c>
    </row>
    <row r="20" spans="2:8" x14ac:dyDescent="0.45">
      <c r="B20" t="e" vm="20">
        <v>#VALUE!</v>
      </c>
      <c r="C20" t="s">
        <v>76</v>
      </c>
      <c r="D20" s="19">
        <v>45485</v>
      </c>
      <c r="E20">
        <v>1</v>
      </c>
      <c r="F20" s="4">
        <v>29.47</v>
      </c>
      <c r="G20" s="4"/>
      <c r="H20" s="4">
        <f>'Transaction Log'!$F20*'Transaction Log'!$E20</f>
        <v>29.47</v>
      </c>
    </row>
    <row r="21" spans="2:8" x14ac:dyDescent="0.45">
      <c r="B21" t="e" vm="2">
        <v>#VALUE!</v>
      </c>
      <c r="C21" t="s">
        <v>76</v>
      </c>
      <c r="D21" s="19">
        <v>45485</v>
      </c>
      <c r="E21">
        <v>0.64139999999999997</v>
      </c>
      <c r="F21" s="4">
        <v>136.06173994387277</v>
      </c>
      <c r="G21" s="4"/>
      <c r="H21" s="4">
        <f>'Transaction Log'!$F21*'Transaction Log'!$E21</f>
        <v>87.269999999999982</v>
      </c>
    </row>
    <row r="22" spans="2:8" x14ac:dyDescent="0.45">
      <c r="B22" t="e" vm="6">
        <v>#VALUE!</v>
      </c>
      <c r="C22" t="s">
        <v>76</v>
      </c>
      <c r="D22" s="19">
        <v>45485</v>
      </c>
      <c r="E22">
        <v>1</v>
      </c>
      <c r="F22" s="4">
        <v>33.729999999999997</v>
      </c>
      <c r="G22" s="4"/>
      <c r="H22" s="4">
        <f>'Transaction Log'!$F22*'Transaction Log'!$E22</f>
        <v>33.729999999999997</v>
      </c>
    </row>
    <row r="23" spans="2:8" x14ac:dyDescent="0.45">
      <c r="B23" t="e" vm="2">
        <v>#VALUE!</v>
      </c>
      <c r="C23" t="s">
        <v>76</v>
      </c>
      <c r="D23" s="19">
        <v>45489</v>
      </c>
      <c r="E23">
        <v>0.45889999999999997</v>
      </c>
      <c r="F23" s="4">
        <v>136.63107430812815</v>
      </c>
      <c r="G23" s="4"/>
      <c r="H23" s="4">
        <f>'Transaction Log'!$F23*'Transaction Log'!$E23</f>
        <v>62.7</v>
      </c>
    </row>
    <row r="24" spans="2:8" x14ac:dyDescent="0.45">
      <c r="B24" t="e" vm="7">
        <v>#VALUE!</v>
      </c>
      <c r="C24" t="s">
        <v>76</v>
      </c>
      <c r="D24" s="19">
        <v>45490</v>
      </c>
      <c r="E24">
        <v>2</v>
      </c>
      <c r="F24" s="4">
        <v>23.48</v>
      </c>
      <c r="G24" s="4"/>
      <c r="H24" s="4">
        <f>'Transaction Log'!$F24*'Transaction Log'!$E24</f>
        <v>46.96</v>
      </c>
    </row>
    <row r="25" spans="2:8" x14ac:dyDescent="0.45">
      <c r="B25" t="e" vm="18">
        <v>#VALUE!</v>
      </c>
      <c r="C25" t="s">
        <v>76</v>
      </c>
      <c r="D25" s="19">
        <v>45490</v>
      </c>
      <c r="E25">
        <v>5</v>
      </c>
      <c r="F25" s="4">
        <v>50.11</v>
      </c>
      <c r="G25" s="4"/>
      <c r="H25" s="4">
        <f>'Transaction Log'!$F25*'Transaction Log'!$E25</f>
        <v>250.55</v>
      </c>
    </row>
    <row r="26" spans="2:8" x14ac:dyDescent="0.45">
      <c r="B26" t="e" vm="19">
        <v>#VALUE!</v>
      </c>
      <c r="C26" t="s">
        <v>76</v>
      </c>
      <c r="D26" s="19">
        <v>45490</v>
      </c>
      <c r="E26">
        <v>1</v>
      </c>
      <c r="F26" s="4">
        <v>119.2</v>
      </c>
      <c r="G26" s="4"/>
      <c r="H26" s="4">
        <f>'Transaction Log'!$F26*'Transaction Log'!$E26</f>
        <v>119.2</v>
      </c>
    </row>
    <row r="27" spans="2:8" x14ac:dyDescent="0.45">
      <c r="B27" t="e" vm="5">
        <v>#VALUE!</v>
      </c>
      <c r="C27" t="s">
        <v>76</v>
      </c>
      <c r="D27" s="19">
        <v>45490</v>
      </c>
      <c r="E27">
        <v>4</v>
      </c>
      <c r="F27" s="4">
        <v>44.84</v>
      </c>
      <c r="G27" s="4"/>
      <c r="H27" s="4">
        <f>'Transaction Log'!$F27*'Transaction Log'!$E27</f>
        <v>179.36</v>
      </c>
    </row>
    <row r="28" spans="2:8" x14ac:dyDescent="0.45">
      <c r="B28" t="e" vm="2">
        <v>#VALUE!</v>
      </c>
      <c r="C28" t="s">
        <v>76</v>
      </c>
      <c r="D28" s="19">
        <v>45490</v>
      </c>
      <c r="E28">
        <v>2</v>
      </c>
      <c r="F28" s="4">
        <v>137.27000000000001</v>
      </c>
      <c r="G28" s="4"/>
      <c r="H28" s="4">
        <f>'Transaction Log'!$F28*'Transaction Log'!$E28</f>
        <v>274.54000000000002</v>
      </c>
    </row>
    <row r="29" spans="2:8" x14ac:dyDescent="0.45">
      <c r="B29" t="e" vm="1">
        <v>#VALUE!</v>
      </c>
      <c r="C29" t="s">
        <v>76</v>
      </c>
      <c r="D29" s="19">
        <v>45490</v>
      </c>
      <c r="E29">
        <v>31.4467</v>
      </c>
      <c r="F29" s="4">
        <v>31.799839092814189</v>
      </c>
      <c r="G29" s="4"/>
      <c r="H29" s="4">
        <f>'Transaction Log'!$F29*'Transaction Log'!$E29</f>
        <v>1000</v>
      </c>
    </row>
    <row r="30" spans="2:8" x14ac:dyDescent="0.45">
      <c r="B30" t="e" vm="2">
        <v>#VALUE!</v>
      </c>
      <c r="C30" t="s">
        <v>76</v>
      </c>
      <c r="D30" s="19">
        <v>45491</v>
      </c>
      <c r="E30">
        <v>1.3556999999999999</v>
      </c>
      <c r="F30" s="4">
        <v>136.01091686951389</v>
      </c>
      <c r="G30" s="4"/>
      <c r="H30" s="4">
        <f>'Transaction Log'!$F30*'Transaction Log'!$E30</f>
        <v>184.38999999999996</v>
      </c>
    </row>
    <row r="31" spans="2:8" x14ac:dyDescent="0.45">
      <c r="B31" t="e" vm="17">
        <v>#VALUE!</v>
      </c>
      <c r="C31" t="s">
        <v>77</v>
      </c>
      <c r="D31" s="19">
        <v>45504</v>
      </c>
      <c r="F31" s="4"/>
      <c r="G31" s="4">
        <v>0.23</v>
      </c>
      <c r="H31" s="4">
        <f>'Transaction Log'!$F31*'Transaction Log'!$E31</f>
        <v>0</v>
      </c>
    </row>
    <row r="32" spans="2:8" x14ac:dyDescent="0.45">
      <c r="B32" t="e" vm="2">
        <v>#VALUE!</v>
      </c>
      <c r="C32" t="s">
        <v>76</v>
      </c>
      <c r="D32" s="19">
        <v>45506</v>
      </c>
      <c r="E32">
        <v>4</v>
      </c>
      <c r="F32" s="4">
        <v>135.75</v>
      </c>
      <c r="G32" s="4"/>
      <c r="H32" s="4">
        <f>'Transaction Log'!$F32*'Transaction Log'!$E32</f>
        <v>543</v>
      </c>
    </row>
    <row r="33" spans="2:8" x14ac:dyDescent="0.45">
      <c r="B33" t="e" vm="18">
        <v>#VALUE!</v>
      </c>
      <c r="C33" t="s">
        <v>76</v>
      </c>
      <c r="D33" s="19">
        <v>45510</v>
      </c>
      <c r="E33">
        <v>9.1393000000000004</v>
      </c>
      <c r="F33" s="4">
        <v>50.030089831825194</v>
      </c>
      <c r="G33" s="4"/>
      <c r="H33" s="4">
        <f>'Transaction Log'!$F33*'Transaction Log'!$E33</f>
        <v>457.24</v>
      </c>
    </row>
    <row r="34" spans="2:8" x14ac:dyDescent="0.45">
      <c r="B34" t="e" vm="18">
        <v>#VALUE!</v>
      </c>
      <c r="C34" t="s">
        <v>77</v>
      </c>
      <c r="D34" s="19">
        <v>45512</v>
      </c>
      <c r="F34" s="4"/>
      <c r="G34" s="4">
        <v>1.56</v>
      </c>
      <c r="H34" s="4">
        <f>'Transaction Log'!$F34*'Transaction Log'!$E34</f>
        <v>0</v>
      </c>
    </row>
    <row r="35" spans="2:8" x14ac:dyDescent="0.45">
      <c r="B35" t="e" vm="5">
        <v>#VALUE!</v>
      </c>
      <c r="C35" t="s">
        <v>77</v>
      </c>
      <c r="D35" s="19">
        <v>45512</v>
      </c>
      <c r="F35" s="4"/>
      <c r="G35" s="4">
        <v>0.74</v>
      </c>
      <c r="H35" s="4">
        <f>'Transaction Log'!$F35*'Transaction Log'!$E35</f>
        <v>0</v>
      </c>
    </row>
    <row r="36" spans="2:8" x14ac:dyDescent="0.45">
      <c r="B36" t="e" vm="6">
        <v>#VALUE!</v>
      </c>
      <c r="C36" t="s">
        <v>77</v>
      </c>
      <c r="D36" s="19">
        <v>45526</v>
      </c>
      <c r="F36" s="4"/>
      <c r="G36" s="4">
        <v>7.0000000000000007E-2</v>
      </c>
      <c r="H36" s="4">
        <f>'Transaction Log'!$F36*'Transaction Log'!$E36</f>
        <v>0</v>
      </c>
    </row>
    <row r="37" spans="2:8" x14ac:dyDescent="0.45">
      <c r="B37" t="e" vm="20">
        <v>#VALUE!</v>
      </c>
      <c r="C37" t="s">
        <v>78</v>
      </c>
      <c r="D37" s="19">
        <v>45527</v>
      </c>
      <c r="E37">
        <v>1</v>
      </c>
      <c r="F37" s="4">
        <v>26.87</v>
      </c>
      <c r="G37" s="4"/>
      <c r="H37" s="4">
        <f>'Transaction Log'!$F37*'Transaction Log'!$E37</f>
        <v>26.87</v>
      </c>
    </row>
    <row r="38" spans="2:8" x14ac:dyDescent="0.45">
      <c r="B38" t="e" vm="7">
        <v>#VALUE!</v>
      </c>
      <c r="C38" t="s">
        <v>78</v>
      </c>
      <c r="D38" s="19">
        <v>45527</v>
      </c>
      <c r="E38">
        <v>2</v>
      </c>
      <c r="F38" s="4">
        <v>21.15</v>
      </c>
      <c r="G38" s="4"/>
      <c r="H38" s="4">
        <f>'Transaction Log'!$F38*'Transaction Log'!$E38</f>
        <v>42.3</v>
      </c>
    </row>
    <row r="39" spans="2:8" x14ac:dyDescent="0.45">
      <c r="B39" t="e" vm="5">
        <v>#VALUE!</v>
      </c>
      <c r="C39" t="s">
        <v>76</v>
      </c>
      <c r="D39" s="19">
        <v>45531</v>
      </c>
      <c r="E39">
        <v>0.50460000000000005</v>
      </c>
      <c r="F39" s="4">
        <v>46.690447879508511</v>
      </c>
      <c r="G39" s="4"/>
      <c r="H39" s="4">
        <f>'Transaction Log'!$F39*'Transaction Log'!$E39</f>
        <v>23.56</v>
      </c>
    </row>
    <row r="40" spans="2:8" x14ac:dyDescent="0.45">
      <c r="B40" t="e" vm="19">
        <v>#VALUE!</v>
      </c>
      <c r="C40" t="s">
        <v>77</v>
      </c>
      <c r="D40" s="19">
        <v>45531</v>
      </c>
      <c r="F40" s="4"/>
      <c r="G40" s="4">
        <v>3.1</v>
      </c>
      <c r="H40" s="4">
        <f>'Transaction Log'!$F40*'Transaction Log'!$E40</f>
        <v>0</v>
      </c>
    </row>
    <row r="41" spans="2:8" x14ac:dyDescent="0.45">
      <c r="B41" t="e" vm="4">
        <v>#VALUE!</v>
      </c>
      <c r="C41" t="s">
        <v>76</v>
      </c>
      <c r="D41" s="19">
        <v>45533</v>
      </c>
      <c r="E41">
        <v>15</v>
      </c>
      <c r="F41" s="4">
        <v>30.18</v>
      </c>
      <c r="G41" s="4"/>
      <c r="H41" s="4">
        <f>'Transaction Log'!$F41*'Transaction Log'!$E41</f>
        <v>452.7</v>
      </c>
    </row>
    <row r="42" spans="2:8" x14ac:dyDescent="0.45">
      <c r="B42" t="e" vm="17">
        <v>#VALUE!</v>
      </c>
      <c r="C42" t="s">
        <v>78</v>
      </c>
      <c r="D42" s="19">
        <v>45533</v>
      </c>
      <c r="E42">
        <v>2</v>
      </c>
      <c r="F42" s="4">
        <v>26.16</v>
      </c>
      <c r="G42" s="4"/>
      <c r="H42" s="4">
        <f>'Transaction Log'!$F42*'Transaction Log'!$E42</f>
        <v>52.32</v>
      </c>
    </row>
    <row r="43" spans="2:8" x14ac:dyDescent="0.45">
      <c r="B43" t="e" vm="6">
        <v>#VALUE!</v>
      </c>
      <c r="C43" t="s">
        <v>76</v>
      </c>
      <c r="D43" s="19">
        <v>45534</v>
      </c>
      <c r="E43">
        <v>1</v>
      </c>
      <c r="F43" s="4">
        <v>33.89</v>
      </c>
      <c r="G43" s="4"/>
      <c r="H43" s="4">
        <f>'Transaction Log'!$F43*'Transaction Log'!$E43</f>
        <v>33.89</v>
      </c>
    </row>
    <row r="44" spans="2:8" x14ac:dyDescent="0.45">
      <c r="B44" t="e" vm="5">
        <v>#VALUE!</v>
      </c>
      <c r="C44" t="s">
        <v>76</v>
      </c>
      <c r="D44" s="19">
        <v>45534</v>
      </c>
      <c r="E44">
        <v>5</v>
      </c>
      <c r="F44" s="4">
        <v>46.6</v>
      </c>
      <c r="G44" s="4"/>
      <c r="H44" s="4">
        <f>'Transaction Log'!$F44*'Transaction Log'!$E44</f>
        <v>233</v>
      </c>
    </row>
    <row r="45" spans="2:8" x14ac:dyDescent="0.45">
      <c r="B45" t="e" vm="5">
        <v>#VALUE!</v>
      </c>
      <c r="C45" t="s">
        <v>76</v>
      </c>
      <c r="D45" s="19">
        <v>45534</v>
      </c>
      <c r="E45">
        <v>4</v>
      </c>
      <c r="F45" s="4">
        <v>46.6</v>
      </c>
      <c r="G45" s="4"/>
      <c r="H45" s="4">
        <f>'Transaction Log'!$F45*'Transaction Log'!$E45</f>
        <v>186.4</v>
      </c>
    </row>
    <row r="46" spans="2:8" x14ac:dyDescent="0.45">
      <c r="B46" t="e" vm="17">
        <v>#VALUE!</v>
      </c>
      <c r="C46" t="s">
        <v>77</v>
      </c>
      <c r="D46" s="19">
        <v>45534</v>
      </c>
      <c r="F46" s="4"/>
      <c r="G46" s="4">
        <v>0.23</v>
      </c>
      <c r="H46" s="4">
        <f>'Transaction Log'!$F46*'Transaction Log'!$E46</f>
        <v>0</v>
      </c>
    </row>
    <row r="47" spans="2:8" x14ac:dyDescent="0.45">
      <c r="B47" t="e" vm="18">
        <v>#VALUE!</v>
      </c>
      <c r="C47" t="s">
        <v>76</v>
      </c>
      <c r="D47" s="19">
        <v>45538</v>
      </c>
      <c r="E47">
        <v>10.894299999999999</v>
      </c>
      <c r="F47" s="4">
        <v>50.015145534820967</v>
      </c>
      <c r="G47" s="4"/>
      <c r="H47" s="4">
        <f>'Transaction Log'!$F47*'Transaction Log'!$E47</f>
        <v>544.88</v>
      </c>
    </row>
    <row r="48" spans="2:8" x14ac:dyDescent="0.45">
      <c r="B48" t="e" vm="18">
        <v>#VALUE!</v>
      </c>
      <c r="C48" t="s">
        <v>77</v>
      </c>
      <c r="D48" s="19">
        <v>45544</v>
      </c>
      <c r="F48" s="4"/>
      <c r="G48" s="4">
        <v>3.09</v>
      </c>
      <c r="H48" s="4">
        <f>'Transaction Log'!$F48*'Transaction Log'!$E48</f>
        <v>0</v>
      </c>
    </row>
    <row r="49" spans="2:8" x14ac:dyDescent="0.45">
      <c r="B49" t="e" vm="5">
        <v>#VALUE!</v>
      </c>
      <c r="C49" t="s">
        <v>77</v>
      </c>
      <c r="D49" s="19">
        <v>45546</v>
      </c>
      <c r="F49" s="4"/>
      <c r="G49" s="4">
        <v>2.72</v>
      </c>
      <c r="H49" s="4">
        <f>'Transaction Log'!$F49*'Transaction Log'!$E49</f>
        <v>0</v>
      </c>
    </row>
    <row r="50" spans="2:8" x14ac:dyDescent="0.45">
      <c r="B50" t="e" vm="5">
        <v>#VALUE!</v>
      </c>
      <c r="C50" t="s">
        <v>76</v>
      </c>
      <c r="D50" s="19">
        <v>45551</v>
      </c>
      <c r="E50">
        <v>13</v>
      </c>
      <c r="F50" s="4">
        <v>47.559999999999995</v>
      </c>
      <c r="G50" s="4"/>
      <c r="H50" s="4">
        <f>'Transaction Log'!$F50*'Transaction Log'!$E50</f>
        <v>618.28</v>
      </c>
    </row>
    <row r="51" spans="2:8" x14ac:dyDescent="0.45">
      <c r="B51" t="e" vm="19">
        <v>#VALUE!</v>
      </c>
      <c r="C51" t="s">
        <v>78</v>
      </c>
      <c r="D51" s="19">
        <v>45552</v>
      </c>
      <c r="E51">
        <v>2</v>
      </c>
      <c r="F51" s="4">
        <v>117.65</v>
      </c>
      <c r="G51" s="4"/>
      <c r="H51" s="4">
        <f>'Transaction Log'!$F51*'Transaction Log'!$E51</f>
        <v>235.3</v>
      </c>
    </row>
    <row r="52" spans="2:8" x14ac:dyDescent="0.45">
      <c r="B52" t="e" vm="8">
        <v>#VALUE!</v>
      </c>
      <c r="C52" t="s">
        <v>76</v>
      </c>
      <c r="D52" s="19">
        <v>45552</v>
      </c>
      <c r="E52">
        <v>1</v>
      </c>
      <c r="F52" s="4">
        <v>167.38</v>
      </c>
      <c r="G52" s="4"/>
      <c r="H52" s="4">
        <f>'Transaction Log'!$F52*'Transaction Log'!$E52</f>
        <v>167.38</v>
      </c>
    </row>
    <row r="53" spans="2:8" x14ac:dyDescent="0.45">
      <c r="B53" t="e" vm="5">
        <v>#VALUE!</v>
      </c>
      <c r="C53" t="s">
        <v>76</v>
      </c>
      <c r="D53" s="19">
        <v>45553</v>
      </c>
      <c r="E53">
        <v>2</v>
      </c>
      <c r="F53" s="4">
        <v>47.83</v>
      </c>
      <c r="G53" s="4"/>
      <c r="H53" s="4">
        <f>'Transaction Log'!$F53*'Transaction Log'!$E53</f>
        <v>95.66</v>
      </c>
    </row>
    <row r="54" spans="2:8" x14ac:dyDescent="0.45">
      <c r="B54" t="e" vm="6">
        <v>#VALUE!</v>
      </c>
      <c r="C54" t="s">
        <v>78</v>
      </c>
      <c r="D54" s="19">
        <v>45558</v>
      </c>
      <c r="E54">
        <v>3</v>
      </c>
      <c r="F54" s="4">
        <v>34.020000000000003</v>
      </c>
      <c r="G54" s="4"/>
      <c r="H54" s="4">
        <f>'Transaction Log'!$F54*'Transaction Log'!$E54</f>
        <v>102.06</v>
      </c>
    </row>
    <row r="55" spans="2:8" x14ac:dyDescent="0.45">
      <c r="B55" t="e" vm="18">
        <v>#VALUE!</v>
      </c>
      <c r="C55" t="s">
        <v>78</v>
      </c>
      <c r="D55" s="19">
        <v>45558</v>
      </c>
      <c r="E55">
        <v>28</v>
      </c>
      <c r="F55" s="4">
        <v>50.12</v>
      </c>
      <c r="G55" s="4"/>
      <c r="H55" s="4">
        <f>'Transaction Log'!$F55*'Transaction Log'!$E55</f>
        <v>1403.36</v>
      </c>
    </row>
    <row r="56" spans="2:8" x14ac:dyDescent="0.45">
      <c r="B56" t="e" vm="5">
        <v>#VALUE!</v>
      </c>
      <c r="C56" t="s">
        <v>76</v>
      </c>
      <c r="D56" s="19">
        <v>45558</v>
      </c>
      <c r="E56">
        <v>10</v>
      </c>
      <c r="F56" s="4">
        <v>48.08</v>
      </c>
      <c r="G56" s="4"/>
      <c r="H56" s="4">
        <f>'Transaction Log'!$F56*'Transaction Log'!$E56</f>
        <v>480.79999999999995</v>
      </c>
    </row>
    <row r="57" spans="2:8" x14ac:dyDescent="0.45">
      <c r="B57" t="e" vm="1">
        <v>#VALUE!</v>
      </c>
      <c r="C57" t="s">
        <v>76</v>
      </c>
      <c r="D57" s="19">
        <v>45558</v>
      </c>
      <c r="E57">
        <v>10</v>
      </c>
      <c r="F57" s="4">
        <v>32.299999999999997</v>
      </c>
      <c r="G57" s="4"/>
      <c r="H57" s="4">
        <f>'Transaction Log'!$F57*'Transaction Log'!$E57</f>
        <v>323</v>
      </c>
    </row>
    <row r="58" spans="2:8" x14ac:dyDescent="0.45">
      <c r="B58" t="e" vm="1">
        <v>#VALUE!</v>
      </c>
      <c r="C58" t="s">
        <v>76</v>
      </c>
      <c r="D58" s="19">
        <v>45558</v>
      </c>
      <c r="E58">
        <v>20</v>
      </c>
      <c r="F58" s="4">
        <v>32.29</v>
      </c>
      <c r="G58" s="4"/>
      <c r="H58" s="4">
        <f>'Transaction Log'!$F58*'Transaction Log'!$E58</f>
        <v>645.79999999999995</v>
      </c>
    </row>
    <row r="59" spans="2:8" x14ac:dyDescent="0.45">
      <c r="B59" t="e" vm="3">
        <v>#VALUE!</v>
      </c>
      <c r="C59" t="s">
        <v>78</v>
      </c>
      <c r="D59" s="19">
        <v>45558</v>
      </c>
      <c r="E59">
        <v>4.0795000000000003</v>
      </c>
      <c r="F59" s="4">
        <v>39.740164235813211</v>
      </c>
      <c r="G59" s="4"/>
      <c r="H59" s="4">
        <f>'Transaction Log'!$F59*'Transaction Log'!$E59</f>
        <v>162.12</v>
      </c>
    </row>
    <row r="60" spans="2:8" x14ac:dyDescent="0.45">
      <c r="B60" t="e" vm="18">
        <v>#VALUE!</v>
      </c>
      <c r="C60" t="s">
        <v>78</v>
      </c>
      <c r="D60" s="19">
        <v>45558</v>
      </c>
      <c r="E60">
        <v>3.3599999999999998E-2</v>
      </c>
      <c r="F60" s="4">
        <v>50</v>
      </c>
      <c r="G60" s="4"/>
      <c r="H60" s="4">
        <f>'Transaction Log'!$F60*'Transaction Log'!$E60</f>
        <v>1.68</v>
      </c>
    </row>
    <row r="61" spans="2:8" x14ac:dyDescent="0.45">
      <c r="B61" t="e" vm="9">
        <v>#VALUE!</v>
      </c>
      <c r="C61" t="s">
        <v>76</v>
      </c>
      <c r="D61" s="19">
        <v>45562</v>
      </c>
      <c r="E61">
        <v>1</v>
      </c>
      <c r="F61" s="4">
        <v>55.01</v>
      </c>
      <c r="G61" s="4"/>
      <c r="H61" s="4">
        <f>'Transaction Log'!$F61*'Transaction Log'!$E61</f>
        <v>55.01</v>
      </c>
    </row>
    <row r="62" spans="2:8" x14ac:dyDescent="0.45">
      <c r="B62" t="e" vm="1">
        <v>#VALUE!</v>
      </c>
      <c r="C62" t="s">
        <v>77</v>
      </c>
      <c r="D62" s="19">
        <v>45562</v>
      </c>
      <c r="F62" s="4"/>
      <c r="G62" s="4">
        <v>9.92</v>
      </c>
      <c r="H62" s="4">
        <f>'Transaction Log'!$F62*'Transaction Log'!$E62</f>
        <v>0</v>
      </c>
    </row>
    <row r="63" spans="2:8" x14ac:dyDescent="0.45">
      <c r="B63" t="e" vm="9">
        <v>#VALUE!</v>
      </c>
      <c r="C63" t="s">
        <v>76</v>
      </c>
      <c r="D63" s="19">
        <v>45569</v>
      </c>
      <c r="E63">
        <v>2</v>
      </c>
      <c r="F63" s="4">
        <v>54.98</v>
      </c>
      <c r="G63" s="4"/>
      <c r="H63" s="4">
        <f>'Transaction Log'!$F63*'Transaction Log'!$E63</f>
        <v>109.96</v>
      </c>
    </row>
    <row r="64" spans="2:8" x14ac:dyDescent="0.45">
      <c r="B64" t="e" vm="5">
        <v>#VALUE!</v>
      </c>
      <c r="C64" t="s">
        <v>77</v>
      </c>
      <c r="D64" s="19">
        <v>45572</v>
      </c>
      <c r="F64" s="4"/>
      <c r="G64" s="4">
        <v>8.25</v>
      </c>
      <c r="H64" s="4">
        <f>'Transaction Log'!$F64*'Transaction Log'!$E64</f>
        <v>0</v>
      </c>
    </row>
    <row r="65" spans="2:8" x14ac:dyDescent="0.45">
      <c r="B65" t="e" vm="2">
        <v>#VALUE!</v>
      </c>
      <c r="C65" t="s">
        <v>77</v>
      </c>
      <c r="D65" s="19">
        <v>45572</v>
      </c>
      <c r="F65" s="4"/>
      <c r="G65" s="4">
        <v>4.8899999999999997</v>
      </c>
      <c r="H65" s="4">
        <f>'Transaction Log'!$F65*'Transaction Log'!$E65</f>
        <v>0</v>
      </c>
    </row>
    <row r="66" spans="2:8" x14ac:dyDescent="0.45">
      <c r="B66" t="e" vm="4">
        <v>#VALUE!</v>
      </c>
      <c r="C66" t="s">
        <v>78</v>
      </c>
      <c r="D66" s="19">
        <v>45573</v>
      </c>
      <c r="E66">
        <v>19</v>
      </c>
      <c r="F66" s="4">
        <v>30.21</v>
      </c>
      <c r="G66" s="4"/>
      <c r="H66" s="4">
        <f>'Transaction Log'!$F66*'Transaction Log'!$E66</f>
        <v>573.99</v>
      </c>
    </row>
    <row r="67" spans="2:8" x14ac:dyDescent="0.45">
      <c r="B67" t="e" vm="1">
        <v>#VALUE!</v>
      </c>
      <c r="C67" t="s">
        <v>76</v>
      </c>
      <c r="D67" s="19">
        <v>45573</v>
      </c>
      <c r="E67">
        <v>20</v>
      </c>
      <c r="F67" s="4">
        <v>32.54</v>
      </c>
      <c r="G67" s="4"/>
      <c r="H67" s="4">
        <f>'Transaction Log'!$F67*'Transaction Log'!$E67</f>
        <v>650.79999999999995</v>
      </c>
    </row>
    <row r="68" spans="2:8" x14ac:dyDescent="0.45">
      <c r="B68" t="e" vm="10">
        <v>#VALUE!</v>
      </c>
      <c r="C68" t="s">
        <v>76</v>
      </c>
      <c r="D68" s="19">
        <v>45573</v>
      </c>
      <c r="E68">
        <v>2</v>
      </c>
      <c r="F68" s="4">
        <v>50.53</v>
      </c>
      <c r="G68" s="4"/>
      <c r="H68" s="4">
        <f>'Transaction Log'!$F68*'Transaction Log'!$E68</f>
        <v>101.06</v>
      </c>
    </row>
    <row r="69" spans="2:8" x14ac:dyDescent="0.45">
      <c r="B69" t="e" vm="1">
        <v>#VALUE!</v>
      </c>
      <c r="C69" t="s">
        <v>76</v>
      </c>
      <c r="D69" s="19">
        <v>45573</v>
      </c>
      <c r="E69">
        <v>15</v>
      </c>
      <c r="F69" s="4">
        <v>32.450000000000003</v>
      </c>
      <c r="G69" s="4"/>
      <c r="H69" s="4">
        <f>'Transaction Log'!$F69*'Transaction Log'!$E69</f>
        <v>486.75000000000006</v>
      </c>
    </row>
    <row r="70" spans="2:8" x14ac:dyDescent="0.45">
      <c r="B70" t="e" vm="5">
        <v>#VALUE!</v>
      </c>
      <c r="C70" t="s">
        <v>76</v>
      </c>
      <c r="D70" s="19">
        <v>45574</v>
      </c>
      <c r="E70">
        <v>10</v>
      </c>
      <c r="F70" s="4">
        <v>48.54</v>
      </c>
      <c r="G70" s="4"/>
      <c r="H70" s="4">
        <f>'Transaction Log'!$F70*'Transaction Log'!$E70</f>
        <v>485.4</v>
      </c>
    </row>
    <row r="71" spans="2:8" x14ac:dyDescent="0.45">
      <c r="B71" t="e" vm="17">
        <v>#VALUE!</v>
      </c>
      <c r="C71" t="s">
        <v>76</v>
      </c>
      <c r="D71" s="19">
        <v>45574</v>
      </c>
      <c r="E71">
        <v>5</v>
      </c>
      <c r="F71" s="4">
        <v>27.330000000000002</v>
      </c>
      <c r="G71" s="4"/>
      <c r="H71" s="4">
        <f>'Transaction Log'!$F71*'Transaction Log'!$E71</f>
        <v>136.65</v>
      </c>
    </row>
    <row r="72" spans="2:8" x14ac:dyDescent="0.45">
      <c r="B72" t="e" vm="4">
        <v>#VALUE!</v>
      </c>
      <c r="C72" t="s">
        <v>77</v>
      </c>
      <c r="D72" s="19">
        <v>45575</v>
      </c>
      <c r="F72" s="4"/>
      <c r="G72" s="4">
        <v>0.04</v>
      </c>
      <c r="H72" s="4">
        <f>'Transaction Log'!$F72*'Transaction Log'!$E72</f>
        <v>0</v>
      </c>
    </row>
    <row r="73" spans="2:8" x14ac:dyDescent="0.45">
      <c r="B73" t="e" vm="21">
        <v>#VALUE!</v>
      </c>
      <c r="C73" t="s">
        <v>76</v>
      </c>
      <c r="D73" s="19">
        <v>45576</v>
      </c>
      <c r="E73">
        <v>4</v>
      </c>
      <c r="F73" s="4">
        <v>82.07</v>
      </c>
      <c r="G73" s="4"/>
      <c r="H73" s="4">
        <f>'Transaction Log'!$F73*'Transaction Log'!$E73</f>
        <v>328.28</v>
      </c>
    </row>
    <row r="74" spans="2:8" x14ac:dyDescent="0.45">
      <c r="B74" t="e" vm="21">
        <v>#VALUE!</v>
      </c>
      <c r="C74" t="s">
        <v>76</v>
      </c>
      <c r="D74" s="19">
        <v>45576</v>
      </c>
      <c r="E74">
        <v>2</v>
      </c>
      <c r="F74" s="4">
        <v>82.03</v>
      </c>
      <c r="G74" s="4"/>
      <c r="H74" s="4">
        <f>'Transaction Log'!$F74*'Transaction Log'!$E74</f>
        <v>164.06</v>
      </c>
    </row>
    <row r="75" spans="2:8" x14ac:dyDescent="0.45">
      <c r="B75" t="e" vm="8">
        <v>#VALUE!</v>
      </c>
      <c r="C75" t="s">
        <v>78</v>
      </c>
      <c r="D75" s="19">
        <v>45576</v>
      </c>
      <c r="E75">
        <v>1</v>
      </c>
      <c r="F75" s="4">
        <v>167.66</v>
      </c>
      <c r="G75" s="4"/>
      <c r="H75" s="4">
        <f>'Transaction Log'!$F75*'Transaction Log'!$E75</f>
        <v>167.66</v>
      </c>
    </row>
    <row r="76" spans="2:8" x14ac:dyDescent="0.45">
      <c r="B76" t="e" vm="9">
        <v>#VALUE!</v>
      </c>
      <c r="C76" t="s">
        <v>76</v>
      </c>
      <c r="D76" s="19">
        <v>45587</v>
      </c>
      <c r="E76">
        <v>3</v>
      </c>
      <c r="F76" s="4">
        <v>57.49</v>
      </c>
      <c r="G76" s="4"/>
      <c r="H76" s="4">
        <f>'Transaction Log'!$F76*'Transaction Log'!$E76</f>
        <v>172.47</v>
      </c>
    </row>
    <row r="77" spans="2:8" x14ac:dyDescent="0.45">
      <c r="B77" t="e" vm="2">
        <v>#VALUE!</v>
      </c>
      <c r="C77" t="s">
        <v>76</v>
      </c>
      <c r="D77" s="19">
        <v>45587</v>
      </c>
      <c r="E77">
        <v>2</v>
      </c>
      <c r="F77" s="4">
        <v>143.1</v>
      </c>
      <c r="G77" s="4"/>
      <c r="H77" s="4">
        <f>'Transaction Log'!$F77*'Transaction Log'!$E77</f>
        <v>286.2</v>
      </c>
    </row>
    <row r="78" spans="2:8" x14ac:dyDescent="0.45">
      <c r="B78" t="e" vm="2">
        <v>#VALUE!</v>
      </c>
      <c r="C78" t="s">
        <v>76</v>
      </c>
      <c r="D78" s="19">
        <v>45590</v>
      </c>
      <c r="E78">
        <v>0.14199999999999999</v>
      </c>
      <c r="F78" s="4">
        <v>142.60563380281693</v>
      </c>
      <c r="G78" s="4"/>
      <c r="H78" s="4">
        <f>'Transaction Log'!$F78*'Transaction Log'!$E78</f>
        <v>20.25</v>
      </c>
    </row>
    <row r="79" spans="2:8" x14ac:dyDescent="0.45">
      <c r="B79" t="e" vm="5">
        <v>#VALUE!</v>
      </c>
      <c r="C79" t="s">
        <v>76</v>
      </c>
      <c r="D79" s="19">
        <v>45596</v>
      </c>
      <c r="E79">
        <v>2.0000000000000001E-4</v>
      </c>
      <c r="F79" s="4">
        <v>50</v>
      </c>
      <c r="G79" s="4"/>
      <c r="H79" s="4">
        <f>'Transaction Log'!$F79*'Transaction Log'!$E79</f>
        <v>0.01</v>
      </c>
    </row>
    <row r="80" spans="2:8" x14ac:dyDescent="0.45">
      <c r="B80" t="e" vm="17">
        <v>#VALUE!</v>
      </c>
      <c r="C80" t="s">
        <v>77</v>
      </c>
      <c r="D80" s="19">
        <v>45596</v>
      </c>
      <c r="F80" s="4"/>
      <c r="G80" s="4">
        <v>0.55000000000000004</v>
      </c>
      <c r="H80" s="4">
        <f>'Transaction Log'!$F80*'Transaction Log'!$E80</f>
        <v>0</v>
      </c>
    </row>
    <row r="81" spans="2:8" x14ac:dyDescent="0.45">
      <c r="B81" t="e" vm="5">
        <v>#VALUE!</v>
      </c>
      <c r="C81" t="s">
        <v>77</v>
      </c>
      <c r="D81" s="19">
        <v>45603</v>
      </c>
      <c r="F81" s="4"/>
      <c r="G81" s="4">
        <v>7.74</v>
      </c>
      <c r="H81" s="4">
        <f>'Transaction Log'!$F81*'Transaction Log'!$E81</f>
        <v>0</v>
      </c>
    </row>
    <row r="82" spans="2:8" x14ac:dyDescent="0.45">
      <c r="B82" t="e" vm="5">
        <v>#VALUE!</v>
      </c>
      <c r="C82" t="s">
        <v>78</v>
      </c>
      <c r="D82" s="19">
        <v>45604</v>
      </c>
      <c r="E82">
        <v>10</v>
      </c>
      <c r="F82" s="4">
        <v>49.75</v>
      </c>
      <c r="G82" s="4"/>
      <c r="H82" s="4">
        <f>'Transaction Log'!$F82*'Transaction Log'!$E82</f>
        <v>497.5</v>
      </c>
    </row>
    <row r="83" spans="2:8" x14ac:dyDescent="0.45">
      <c r="B83" t="e" vm="2">
        <v>#VALUE!</v>
      </c>
      <c r="C83" t="s">
        <v>76</v>
      </c>
      <c r="D83" s="19">
        <v>45604</v>
      </c>
      <c r="E83">
        <v>3</v>
      </c>
      <c r="F83" s="4">
        <v>146.60999999999999</v>
      </c>
      <c r="G83" s="4"/>
      <c r="H83" s="4">
        <f>'Transaction Log'!$F83*'Transaction Log'!$E83</f>
        <v>439.82999999999993</v>
      </c>
    </row>
    <row r="84" spans="2:8" x14ac:dyDescent="0.45">
      <c r="B84" t="e" vm="17">
        <v>#VALUE!</v>
      </c>
      <c r="C84" t="s">
        <v>78</v>
      </c>
      <c r="D84" s="19">
        <v>45604</v>
      </c>
      <c r="E84">
        <v>5</v>
      </c>
      <c r="F84" s="4">
        <v>27.72</v>
      </c>
      <c r="G84" s="4"/>
      <c r="H84" s="4">
        <f>'Transaction Log'!$F84*'Transaction Log'!$E84</f>
        <v>138.6</v>
      </c>
    </row>
    <row r="85" spans="2:8" x14ac:dyDescent="0.45">
      <c r="B85" t="e" vm="2">
        <v>#VALUE!</v>
      </c>
      <c r="C85" t="s">
        <v>76</v>
      </c>
      <c r="D85" s="19">
        <v>45604</v>
      </c>
      <c r="E85">
        <v>0.39660000000000001</v>
      </c>
      <c r="F85" s="4">
        <v>146.79778113968734</v>
      </c>
      <c r="G85" s="4"/>
      <c r="H85" s="4">
        <f>'Transaction Log'!$F85*'Transaction Log'!$E85</f>
        <v>58.22</v>
      </c>
    </row>
    <row r="86" spans="2:8" x14ac:dyDescent="0.45">
      <c r="B86" t="e" vm="2">
        <v>#VALUE!</v>
      </c>
      <c r="C86" t="s">
        <v>76</v>
      </c>
      <c r="D86" s="19">
        <v>45611</v>
      </c>
      <c r="E86">
        <v>7</v>
      </c>
      <c r="F86" s="4">
        <v>148.49</v>
      </c>
      <c r="G86" s="4"/>
      <c r="H86" s="4">
        <f>'Transaction Log'!$F86*'Transaction Log'!$E86</f>
        <v>1039.43</v>
      </c>
    </row>
    <row r="87" spans="2:8" x14ac:dyDescent="0.45">
      <c r="B87" t="e" vm="5">
        <v>#VALUE!</v>
      </c>
      <c r="C87" t="s">
        <v>78</v>
      </c>
      <c r="D87" s="19">
        <v>45611</v>
      </c>
      <c r="E87">
        <v>20</v>
      </c>
      <c r="F87" s="4">
        <v>50.07</v>
      </c>
      <c r="G87" s="4"/>
      <c r="H87" s="4">
        <f>'Transaction Log'!$F87*'Transaction Log'!$E87</f>
        <v>1001.4</v>
      </c>
    </row>
    <row r="88" spans="2:8" x14ac:dyDescent="0.45">
      <c r="B88" t="e" vm="1">
        <v>#VALUE!</v>
      </c>
      <c r="C88" t="s">
        <v>76</v>
      </c>
      <c r="D88" s="19">
        <v>45611</v>
      </c>
      <c r="E88">
        <v>3</v>
      </c>
      <c r="F88" s="4">
        <v>33.74</v>
      </c>
      <c r="G88" s="4"/>
      <c r="H88" s="4">
        <f>'Transaction Log'!$F88*'Transaction Log'!$E88</f>
        <v>101.22</v>
      </c>
    </row>
    <row r="89" spans="2:8" x14ac:dyDescent="0.45">
      <c r="B89" t="e" vm="1">
        <v>#VALUE!</v>
      </c>
      <c r="C89" t="s">
        <v>76</v>
      </c>
      <c r="D89" s="19">
        <v>45611</v>
      </c>
      <c r="E89">
        <v>0.2099</v>
      </c>
      <c r="F89" s="4">
        <v>33.777989518818487</v>
      </c>
      <c r="G89" s="4"/>
      <c r="H89" s="4">
        <f>'Transaction Log'!$F89*'Transaction Log'!$E89</f>
        <v>7.0900000000000007</v>
      </c>
    </row>
    <row r="90" spans="2:8" x14ac:dyDescent="0.45">
      <c r="B90" t="e" vm="9">
        <v>#VALUE!</v>
      </c>
      <c r="C90" t="s">
        <v>78</v>
      </c>
      <c r="D90" s="19">
        <v>45622</v>
      </c>
      <c r="E90">
        <v>6</v>
      </c>
      <c r="F90" s="4">
        <v>60.139999999999993</v>
      </c>
      <c r="G90" s="4"/>
      <c r="H90" s="4">
        <f>'Transaction Log'!$F90*'Transaction Log'!$E90</f>
        <v>360.84</v>
      </c>
    </row>
    <row r="91" spans="2:8" x14ac:dyDescent="0.45">
      <c r="B91" t="e" vm="5">
        <v>#VALUE!</v>
      </c>
      <c r="C91" t="s">
        <v>76</v>
      </c>
      <c r="D91" s="19">
        <v>45622</v>
      </c>
      <c r="E91">
        <v>9</v>
      </c>
      <c r="F91" s="4">
        <v>50.75</v>
      </c>
      <c r="G91" s="4"/>
      <c r="H91" s="4">
        <f>'Transaction Log'!$F91*'Transaction Log'!$E91</f>
        <v>456.75</v>
      </c>
    </row>
    <row r="92" spans="2:8" x14ac:dyDescent="0.45">
      <c r="B92" t="e" vm="10">
        <v>#VALUE!</v>
      </c>
      <c r="C92" t="s">
        <v>78</v>
      </c>
      <c r="D92" s="19">
        <v>45622</v>
      </c>
      <c r="E92">
        <v>2</v>
      </c>
      <c r="F92" s="4">
        <v>61.03</v>
      </c>
      <c r="G92" s="4"/>
      <c r="H92" s="4">
        <f>'Transaction Log'!$F92*'Transaction Log'!$E92</f>
        <v>122.06</v>
      </c>
    </row>
    <row r="93" spans="2:8" x14ac:dyDescent="0.45">
      <c r="B93" t="e" vm="5">
        <v>#VALUE!</v>
      </c>
      <c r="C93" t="s">
        <v>76</v>
      </c>
      <c r="D93" s="19">
        <v>45622</v>
      </c>
      <c r="E93">
        <v>0.51559999999999995</v>
      </c>
      <c r="F93" s="4">
        <v>50.717610550814591</v>
      </c>
      <c r="G93" s="4"/>
      <c r="H93" s="4">
        <f>'Transaction Log'!$F93*'Transaction Log'!$E93</f>
        <v>26.150000000000002</v>
      </c>
    </row>
    <row r="94" spans="2:8" x14ac:dyDescent="0.45">
      <c r="B94" t="e" vm="9">
        <v>#VALUE!</v>
      </c>
      <c r="C94" t="s">
        <v>77</v>
      </c>
      <c r="D94" s="19">
        <v>45628</v>
      </c>
      <c r="F94" s="4"/>
      <c r="G94" s="4">
        <v>5.49</v>
      </c>
      <c r="H94" s="4">
        <f>'Transaction Log'!$F94*'Transaction Log'!$E94</f>
        <v>0</v>
      </c>
    </row>
    <row r="95" spans="2:8" x14ac:dyDescent="0.45">
      <c r="B95" t="e" vm="5">
        <v>#VALUE!</v>
      </c>
      <c r="C95" t="s">
        <v>77</v>
      </c>
      <c r="D95" s="19">
        <v>45632</v>
      </c>
      <c r="F95" s="4"/>
      <c r="G95" s="4">
        <v>5.04</v>
      </c>
      <c r="H95" s="4">
        <f>'Transaction Log'!$F95*'Transaction Log'!$E95</f>
        <v>0</v>
      </c>
    </row>
    <row r="96" spans="2:8" x14ac:dyDescent="0.45">
      <c r="B96" t="e" vm="10">
        <v>#VALUE!</v>
      </c>
      <c r="C96" t="s">
        <v>76</v>
      </c>
      <c r="D96" s="19">
        <v>45637</v>
      </c>
      <c r="E96">
        <v>8</v>
      </c>
      <c r="F96" s="4">
        <v>61.48</v>
      </c>
      <c r="G96" s="4"/>
      <c r="H96" s="4">
        <f>'Transaction Log'!$F96*'Transaction Log'!$E96</f>
        <v>491.84</v>
      </c>
    </row>
    <row r="97" spans="2:8" x14ac:dyDescent="0.45">
      <c r="B97" t="e" vm="3">
        <v>#VALUE!</v>
      </c>
      <c r="C97" t="s">
        <v>76</v>
      </c>
      <c r="D97" s="19">
        <v>45637</v>
      </c>
      <c r="E97">
        <v>11</v>
      </c>
      <c r="F97" s="4">
        <v>45.99</v>
      </c>
      <c r="G97" s="4"/>
      <c r="H97" s="4">
        <f>'Transaction Log'!$F97*'Transaction Log'!$E97</f>
        <v>505.89000000000004</v>
      </c>
    </row>
    <row r="98" spans="2:8" x14ac:dyDescent="0.45">
      <c r="B98" t="e" vm="2">
        <v>#VALUE!</v>
      </c>
      <c r="C98" t="s">
        <v>76</v>
      </c>
      <c r="D98" s="19">
        <v>45638</v>
      </c>
      <c r="E98">
        <v>5</v>
      </c>
      <c r="F98" s="4">
        <v>153.20999999999998</v>
      </c>
      <c r="G98" s="4"/>
      <c r="H98" s="4">
        <f>'Transaction Log'!$F98*'Transaction Log'!$E98</f>
        <v>766.05</v>
      </c>
    </row>
    <row r="99" spans="2:8" x14ac:dyDescent="0.45">
      <c r="B99" t="e" vm="5">
        <v>#VALUE!</v>
      </c>
      <c r="C99" t="s">
        <v>78</v>
      </c>
      <c r="D99" s="19">
        <v>45638</v>
      </c>
      <c r="E99">
        <v>28</v>
      </c>
      <c r="F99" s="4">
        <v>50.44</v>
      </c>
      <c r="G99" s="4"/>
      <c r="H99" s="4">
        <f>'Transaction Log'!$F99*'Transaction Log'!$E99</f>
        <v>1412.32</v>
      </c>
    </row>
    <row r="100" spans="2:8" x14ac:dyDescent="0.45">
      <c r="B100" t="e" vm="1">
        <v>#VALUE!</v>
      </c>
      <c r="C100" t="s">
        <v>76</v>
      </c>
      <c r="D100" s="19">
        <v>45638</v>
      </c>
      <c r="E100">
        <v>18</v>
      </c>
      <c r="F100" s="4">
        <v>34.869999999999997</v>
      </c>
      <c r="G100" s="4"/>
      <c r="H100" s="4">
        <f>'Transaction Log'!$F100*'Transaction Log'!$E100</f>
        <v>627.66</v>
      </c>
    </row>
    <row r="101" spans="2:8" x14ac:dyDescent="0.45">
      <c r="B101" t="e" vm="5">
        <v>#VALUE!</v>
      </c>
      <c r="C101" t="s">
        <v>78</v>
      </c>
      <c r="D101" s="19">
        <v>45639</v>
      </c>
      <c r="E101">
        <v>0.51280000000000003</v>
      </c>
      <c r="F101" s="4">
        <v>50.175507020280811</v>
      </c>
      <c r="G101" s="4"/>
      <c r="H101" s="4">
        <f>'Transaction Log'!$F101*'Transaction Log'!$E101</f>
        <v>25.73</v>
      </c>
    </row>
    <row r="102" spans="2:8" x14ac:dyDescent="0.45">
      <c r="B102" t="e" vm="1">
        <v>#VALUE!</v>
      </c>
      <c r="C102" t="s">
        <v>76</v>
      </c>
      <c r="D102" s="19">
        <v>45639</v>
      </c>
      <c r="E102">
        <v>0.90410000000000001</v>
      </c>
      <c r="F102" s="4">
        <v>34.741732109279944</v>
      </c>
      <c r="G102" s="4"/>
      <c r="H102" s="4">
        <f>'Transaction Log'!$F102*'Transaction Log'!$E102</f>
        <v>31.409999999999997</v>
      </c>
    </row>
    <row r="103" spans="2:8" x14ac:dyDescent="0.45">
      <c r="B103" t="e" vm="22">
        <v>#VALUE!</v>
      </c>
      <c r="C103" t="s">
        <v>76</v>
      </c>
      <c r="D103" s="19">
        <v>45639</v>
      </c>
      <c r="E103">
        <v>4</v>
      </c>
      <c r="F103" s="4">
        <v>6.29</v>
      </c>
      <c r="G103" s="4"/>
      <c r="H103" s="4">
        <f>'Transaction Log'!$F103*'Transaction Log'!$E103</f>
        <v>25.16</v>
      </c>
    </row>
    <row r="104" spans="2:8" x14ac:dyDescent="0.45">
      <c r="B104" t="e" vm="1">
        <v>#VALUE!</v>
      </c>
      <c r="C104" t="s">
        <v>77</v>
      </c>
      <c r="D104" s="19">
        <v>45660</v>
      </c>
      <c r="F104" s="4"/>
      <c r="G104" s="4">
        <v>44.76</v>
      </c>
      <c r="H104" s="4">
        <f>'Transaction Log'!$F104*'Transaction Log'!$E104</f>
        <v>0</v>
      </c>
    </row>
    <row r="105" spans="2:8" x14ac:dyDescent="0.45">
      <c r="B105" t="e" vm="22">
        <v>#VALUE!</v>
      </c>
      <c r="C105" t="s">
        <v>78</v>
      </c>
      <c r="D105" s="19">
        <v>45663</v>
      </c>
      <c r="E105">
        <v>4</v>
      </c>
      <c r="F105" s="4">
        <v>6.57</v>
      </c>
      <c r="G105" s="4"/>
      <c r="H105" s="4">
        <f>'Transaction Log'!$F105*'Transaction Log'!$E105</f>
        <v>26.28</v>
      </c>
    </row>
    <row r="106" spans="2:8" x14ac:dyDescent="0.45">
      <c r="B106" t="e" vm="10">
        <v>#VALUE!</v>
      </c>
      <c r="C106" t="s">
        <v>76</v>
      </c>
      <c r="D106" s="19">
        <v>45664</v>
      </c>
      <c r="E106">
        <v>1</v>
      </c>
      <c r="F106" s="4">
        <v>63.78</v>
      </c>
      <c r="G106" s="4"/>
      <c r="H106" s="4">
        <f>'Transaction Log'!$F106*'Transaction Log'!$E106</f>
        <v>63.78</v>
      </c>
    </row>
    <row r="107" spans="2:8" x14ac:dyDescent="0.45">
      <c r="B107" t="e" vm="3">
        <v>#VALUE!</v>
      </c>
      <c r="C107" t="s">
        <v>77</v>
      </c>
      <c r="D107" s="19">
        <v>45664</v>
      </c>
      <c r="F107" s="4"/>
      <c r="G107" s="4">
        <v>0.27</v>
      </c>
      <c r="H107" s="4">
        <f>'Transaction Log'!$F107*'Transaction Log'!$E107</f>
        <v>0</v>
      </c>
    </row>
    <row r="108" spans="2:8" x14ac:dyDescent="0.45">
      <c r="B108" t="e" vm="2">
        <v>#VALUE!</v>
      </c>
      <c r="C108" t="s">
        <v>77</v>
      </c>
      <c r="D108" s="19">
        <v>45664</v>
      </c>
      <c r="F108" s="4"/>
      <c r="G108" s="4">
        <v>12.51</v>
      </c>
      <c r="H108" s="4">
        <f>'Transaction Log'!$F108*'Transaction Log'!$E108</f>
        <v>0</v>
      </c>
    </row>
    <row r="109" spans="2:8" x14ac:dyDescent="0.45">
      <c r="B109" t="e" vm="9">
        <v>#VALUE!</v>
      </c>
      <c r="C109" t="s">
        <v>76</v>
      </c>
      <c r="D109" s="19">
        <v>45667</v>
      </c>
      <c r="E109">
        <v>4</v>
      </c>
      <c r="F109" s="4">
        <v>63.08</v>
      </c>
      <c r="G109" s="4"/>
      <c r="H109" s="4">
        <f>'Transaction Log'!$F109*'Transaction Log'!$E109</f>
        <v>252.32</v>
      </c>
    </row>
    <row r="110" spans="2:8" x14ac:dyDescent="0.45">
      <c r="B110" t="e" vm="2">
        <v>#VALUE!</v>
      </c>
      <c r="C110" t="s">
        <v>76</v>
      </c>
      <c r="D110" s="19">
        <v>45670</v>
      </c>
      <c r="E110">
        <v>8</v>
      </c>
      <c r="F110" s="4">
        <v>148.82</v>
      </c>
      <c r="G110" s="4"/>
      <c r="H110" s="4">
        <f>'Transaction Log'!$F110*'Transaction Log'!$E110</f>
        <v>1190.56</v>
      </c>
    </row>
    <row r="111" spans="2:8" x14ac:dyDescent="0.45">
      <c r="B111" t="e" vm="23">
        <v>#VALUE!</v>
      </c>
      <c r="C111" t="s">
        <v>76</v>
      </c>
      <c r="D111" s="19">
        <v>45670</v>
      </c>
      <c r="E111">
        <v>2</v>
      </c>
      <c r="F111" s="4">
        <v>80.09</v>
      </c>
      <c r="G111" s="4"/>
      <c r="H111" s="4">
        <f>'Transaction Log'!$F111*'Transaction Log'!$E111</f>
        <v>160.18</v>
      </c>
    </row>
    <row r="112" spans="2:8" x14ac:dyDescent="0.45">
      <c r="B112" t="e" vm="4">
        <v>#VALUE!</v>
      </c>
      <c r="C112" t="s">
        <v>76</v>
      </c>
      <c r="D112" s="19">
        <v>45670</v>
      </c>
      <c r="E112">
        <v>5</v>
      </c>
      <c r="F112" s="4">
        <v>31.76</v>
      </c>
      <c r="G112" s="4"/>
      <c r="H112" s="4">
        <f>'Transaction Log'!$F112*'Transaction Log'!$E112</f>
        <v>158.80000000000001</v>
      </c>
    </row>
    <row r="113" spans="2:8" x14ac:dyDescent="0.45">
      <c r="B113" t="e" vm="4">
        <v>#VALUE!</v>
      </c>
      <c r="C113" t="s">
        <v>76</v>
      </c>
      <c r="D113" s="19">
        <v>45674</v>
      </c>
      <c r="E113">
        <v>2</v>
      </c>
      <c r="F113" s="4">
        <v>31.52</v>
      </c>
      <c r="G113" s="4"/>
      <c r="H113" s="4">
        <f>'Transaction Log'!$F113*'Transaction Log'!$E113</f>
        <v>63.04</v>
      </c>
    </row>
    <row r="114" spans="2:8" x14ac:dyDescent="0.45">
      <c r="B114" t="e" vm="2">
        <v>#VALUE!</v>
      </c>
      <c r="C114" t="s">
        <v>76</v>
      </c>
      <c r="D114" s="19">
        <v>45677</v>
      </c>
      <c r="E114">
        <v>1</v>
      </c>
      <c r="F114" s="4">
        <v>154.07</v>
      </c>
      <c r="G114" s="4"/>
      <c r="H114" s="4">
        <f>'Transaction Log'!$F114*'Transaction Log'!$E114</f>
        <v>154.07</v>
      </c>
    </row>
    <row r="115" spans="2:8" x14ac:dyDescent="0.45">
      <c r="B115" t="e" vm="2">
        <v>#VALUE!</v>
      </c>
      <c r="C115" t="s">
        <v>76</v>
      </c>
      <c r="D115" s="19">
        <v>45677</v>
      </c>
      <c r="E115">
        <v>0.27060000000000001</v>
      </c>
      <c r="F115" s="4">
        <v>153.84331116038433</v>
      </c>
      <c r="G115" s="4"/>
      <c r="H115" s="4">
        <f>'Transaction Log'!$F115*'Transaction Log'!$E115</f>
        <v>41.63</v>
      </c>
    </row>
    <row r="116" spans="2:8" x14ac:dyDescent="0.45">
      <c r="B116" t="e" vm="6">
        <v>#VALUE!</v>
      </c>
      <c r="C116" t="s">
        <v>76</v>
      </c>
      <c r="D116" s="19">
        <v>45679</v>
      </c>
      <c r="E116">
        <v>10</v>
      </c>
      <c r="F116" s="4">
        <v>32.25</v>
      </c>
      <c r="G116" s="4"/>
      <c r="H116" s="4">
        <f>'Transaction Log'!$F116*'Transaction Log'!$E116</f>
        <v>322.5</v>
      </c>
    </row>
    <row r="117" spans="2:8" x14ac:dyDescent="0.45">
      <c r="B117" t="e" vm="24">
        <v>#VALUE!</v>
      </c>
      <c r="C117" t="s">
        <v>76</v>
      </c>
      <c r="D117" s="19">
        <v>45679</v>
      </c>
      <c r="E117">
        <v>1</v>
      </c>
      <c r="F117" s="4">
        <v>36.76</v>
      </c>
      <c r="G117" s="4"/>
      <c r="H117" s="4">
        <f>'Transaction Log'!$F117*'Transaction Log'!$E117</f>
        <v>36.76</v>
      </c>
    </row>
    <row r="118" spans="2:8" x14ac:dyDescent="0.45">
      <c r="B118" t="e" vm="24">
        <v>#VALUE!</v>
      </c>
      <c r="C118" t="s">
        <v>76</v>
      </c>
      <c r="D118" s="19">
        <v>45679</v>
      </c>
      <c r="E118">
        <v>3</v>
      </c>
      <c r="F118" s="4">
        <v>36.770000000000003</v>
      </c>
      <c r="G118" s="4"/>
      <c r="H118" s="4">
        <f>'Transaction Log'!$F118*'Transaction Log'!$E118</f>
        <v>110.31</v>
      </c>
    </row>
    <row r="119" spans="2:8" x14ac:dyDescent="0.45">
      <c r="B119" t="e" vm="2">
        <v>#VALUE!</v>
      </c>
      <c r="C119" t="s">
        <v>76</v>
      </c>
      <c r="D119" s="19">
        <v>45685</v>
      </c>
      <c r="E119">
        <v>7</v>
      </c>
      <c r="F119" s="4">
        <v>152.91</v>
      </c>
      <c r="G119" s="4"/>
      <c r="H119" s="4">
        <f>'Transaction Log'!$F119*'Transaction Log'!$E119</f>
        <v>1070.3699999999999</v>
      </c>
    </row>
    <row r="120" spans="2:8" x14ac:dyDescent="0.45">
      <c r="B120" t="e" vm="11">
        <v>#VALUE!</v>
      </c>
      <c r="C120" t="s">
        <v>76</v>
      </c>
      <c r="D120" s="19">
        <v>45685</v>
      </c>
      <c r="E120">
        <v>45</v>
      </c>
      <c r="F120" s="4">
        <v>19.560000000000002</v>
      </c>
      <c r="G120" s="4"/>
      <c r="H120" s="4">
        <f>'Transaction Log'!$F120*'Transaction Log'!$E120</f>
        <v>880.2</v>
      </c>
    </row>
    <row r="121" spans="2:8" x14ac:dyDescent="0.45">
      <c r="B121" t="e" vm="2">
        <v>#VALUE!</v>
      </c>
      <c r="C121" t="s">
        <v>76</v>
      </c>
      <c r="D121" s="19">
        <v>45686</v>
      </c>
      <c r="E121">
        <v>0.5151</v>
      </c>
      <c r="F121" s="4">
        <v>155.03785672684916</v>
      </c>
      <c r="G121" s="4"/>
      <c r="H121" s="4">
        <f>'Transaction Log'!$F121*'Transaction Log'!$E121</f>
        <v>79.86</v>
      </c>
    </row>
    <row r="122" spans="2:8" x14ac:dyDescent="0.45">
      <c r="B122" t="e" vm="10">
        <v>#VALUE!</v>
      </c>
      <c r="C122" t="s">
        <v>77</v>
      </c>
      <c r="D122" s="19">
        <v>45688</v>
      </c>
      <c r="F122" s="4"/>
      <c r="G122" s="4">
        <v>5.22</v>
      </c>
      <c r="H122" s="4">
        <f>'Transaction Log'!$F122*'Transaction Log'!$E122</f>
        <v>0</v>
      </c>
    </row>
    <row r="123" spans="2:8" x14ac:dyDescent="0.45">
      <c r="B123" t="e" vm="21">
        <v>#VALUE!</v>
      </c>
      <c r="C123" t="s">
        <v>77</v>
      </c>
      <c r="D123" s="19">
        <v>45688</v>
      </c>
      <c r="F123" s="4"/>
      <c r="G123" s="4">
        <v>6.3</v>
      </c>
      <c r="H123" s="4">
        <f>'Transaction Log'!$F123*'Transaction Log'!$E123</f>
        <v>0</v>
      </c>
    </row>
    <row r="124" spans="2:8" x14ac:dyDescent="0.45">
      <c r="B124" t="e" vm="2">
        <v>#VALUE!</v>
      </c>
      <c r="C124" t="s">
        <v>76</v>
      </c>
      <c r="D124" s="19">
        <v>45692</v>
      </c>
      <c r="E124">
        <v>2</v>
      </c>
      <c r="F124" s="4">
        <v>153.99</v>
      </c>
      <c r="G124" s="4"/>
      <c r="H124" s="4">
        <f>'Transaction Log'!$F124*'Transaction Log'!$E124</f>
        <v>307.98</v>
      </c>
    </row>
    <row r="125" spans="2:8" x14ac:dyDescent="0.45">
      <c r="B125" t="e" vm="11">
        <v>#VALUE!</v>
      </c>
      <c r="C125" t="s">
        <v>76</v>
      </c>
      <c r="D125" s="19">
        <v>45692</v>
      </c>
      <c r="E125">
        <v>5</v>
      </c>
      <c r="F125" s="4">
        <v>20.09</v>
      </c>
      <c r="G125" s="4"/>
      <c r="H125" s="4">
        <f>'Transaction Log'!$F125*'Transaction Log'!$E125</f>
        <v>100.45</v>
      </c>
    </row>
    <row r="126" spans="2:8" x14ac:dyDescent="0.45">
      <c r="B126" t="e" vm="1">
        <v>#VALUE!</v>
      </c>
      <c r="C126" t="s">
        <v>76</v>
      </c>
      <c r="D126" s="19">
        <v>45692</v>
      </c>
      <c r="E126">
        <v>2</v>
      </c>
      <c r="F126" s="4">
        <v>34.770000000000003</v>
      </c>
      <c r="G126" s="4"/>
      <c r="H126" s="4">
        <f>'Transaction Log'!$F126*'Transaction Log'!$E126</f>
        <v>69.540000000000006</v>
      </c>
    </row>
    <row r="127" spans="2:8" x14ac:dyDescent="0.45">
      <c r="B127" t="e" vm="11">
        <v>#VALUE!</v>
      </c>
      <c r="C127" t="s">
        <v>76</v>
      </c>
      <c r="D127" s="19">
        <v>45692</v>
      </c>
      <c r="E127">
        <v>1</v>
      </c>
      <c r="F127" s="4">
        <v>20.239999999999998</v>
      </c>
      <c r="G127" s="4"/>
      <c r="H127" s="4">
        <f>'Transaction Log'!$F127*'Transaction Log'!$E127</f>
        <v>20.239999999999998</v>
      </c>
    </row>
    <row r="128" spans="2:8" x14ac:dyDescent="0.45">
      <c r="B128" t="e" vm="9">
        <v>#VALUE!</v>
      </c>
      <c r="C128" t="s">
        <v>78</v>
      </c>
      <c r="D128" s="19">
        <v>45699</v>
      </c>
      <c r="E128">
        <v>4</v>
      </c>
      <c r="F128" s="4">
        <v>64.27</v>
      </c>
      <c r="G128" s="4"/>
      <c r="H128" s="4">
        <f>'Transaction Log'!$F128*'Transaction Log'!$E128</f>
        <v>257.08</v>
      </c>
    </row>
    <row r="129" spans="2:8" x14ac:dyDescent="0.45">
      <c r="B129" t="e" vm="12">
        <v>#VALUE!</v>
      </c>
      <c r="C129" t="s">
        <v>76</v>
      </c>
      <c r="D129" s="19">
        <v>45699</v>
      </c>
      <c r="E129">
        <v>1</v>
      </c>
      <c r="F129" s="4">
        <v>79.209999999999994</v>
      </c>
      <c r="G129" s="4"/>
      <c r="H129" s="4">
        <f>'Transaction Log'!$F129*'Transaction Log'!$E129</f>
        <v>79.209999999999994</v>
      </c>
    </row>
    <row r="130" spans="2:8" x14ac:dyDescent="0.45">
      <c r="B130" t="e" vm="25">
        <v>#VALUE!</v>
      </c>
      <c r="C130" t="s">
        <v>76</v>
      </c>
      <c r="D130" s="19">
        <v>45699</v>
      </c>
      <c r="E130">
        <v>2</v>
      </c>
      <c r="F130" s="4">
        <v>36.29</v>
      </c>
      <c r="G130" s="4"/>
      <c r="H130" s="4">
        <f>'Transaction Log'!$F130*'Transaction Log'!$E130</f>
        <v>72.58</v>
      </c>
    </row>
    <row r="131" spans="2:8" x14ac:dyDescent="0.45">
      <c r="B131" t="e" vm="9">
        <v>#VALUE!</v>
      </c>
      <c r="C131" t="s">
        <v>76</v>
      </c>
      <c r="D131" s="19">
        <v>45706</v>
      </c>
      <c r="E131">
        <v>1</v>
      </c>
      <c r="F131" s="4">
        <v>61.21</v>
      </c>
      <c r="G131" s="4"/>
      <c r="H131" s="4">
        <f>'Transaction Log'!$F131*'Transaction Log'!$E131</f>
        <v>61.21</v>
      </c>
    </row>
    <row r="132" spans="2:8" x14ac:dyDescent="0.45">
      <c r="B132" t="e" vm="2">
        <v>#VALUE!</v>
      </c>
      <c r="C132" t="s">
        <v>76</v>
      </c>
      <c r="D132" s="19">
        <v>45706</v>
      </c>
      <c r="E132">
        <v>2</v>
      </c>
      <c r="F132" s="4">
        <v>153.83000000000001</v>
      </c>
      <c r="G132" s="4"/>
      <c r="H132" s="4">
        <f>'Transaction Log'!$F132*'Transaction Log'!$E132</f>
        <v>307.66000000000003</v>
      </c>
    </row>
    <row r="133" spans="2:8" x14ac:dyDescent="0.45">
      <c r="B133" t="e" vm="1">
        <v>#VALUE!</v>
      </c>
      <c r="C133" t="s">
        <v>76</v>
      </c>
      <c r="D133" s="19">
        <v>45706</v>
      </c>
      <c r="E133">
        <v>4</v>
      </c>
      <c r="F133" s="4">
        <v>34.979999999999997</v>
      </c>
      <c r="G133" s="4"/>
      <c r="H133" s="4">
        <f>'Transaction Log'!$F133*'Transaction Log'!$E133</f>
        <v>139.91999999999999</v>
      </c>
    </row>
    <row r="134" spans="2:8" x14ac:dyDescent="0.45">
      <c r="B134" t="e" vm="11">
        <v>#VALUE!</v>
      </c>
      <c r="C134" t="s">
        <v>76</v>
      </c>
      <c r="D134" s="19">
        <v>45706</v>
      </c>
      <c r="E134">
        <v>5</v>
      </c>
      <c r="F134" s="4">
        <v>20.45</v>
      </c>
      <c r="G134" s="4"/>
      <c r="H134" s="4">
        <f>'Transaction Log'!$F134*'Transaction Log'!$E134</f>
        <v>102.25</v>
      </c>
    </row>
    <row r="135" spans="2:8" x14ac:dyDescent="0.45">
      <c r="B135" t="e" vm="9">
        <v>#VALUE!</v>
      </c>
      <c r="C135" t="s">
        <v>76</v>
      </c>
      <c r="D135" s="19">
        <v>45706</v>
      </c>
      <c r="E135">
        <v>3</v>
      </c>
      <c r="F135" s="4">
        <v>61.35</v>
      </c>
      <c r="G135" s="4"/>
      <c r="H135" s="4">
        <f>'Transaction Log'!$F135*'Transaction Log'!$E135</f>
        <v>184.05</v>
      </c>
    </row>
    <row r="136" spans="2:8" x14ac:dyDescent="0.45">
      <c r="B136" t="e" vm="6">
        <v>#VALUE!</v>
      </c>
      <c r="C136" t="s">
        <v>76</v>
      </c>
      <c r="D136" s="19">
        <v>45708</v>
      </c>
      <c r="E136">
        <v>8</v>
      </c>
      <c r="F136" s="4">
        <v>35.71</v>
      </c>
      <c r="G136" s="4"/>
      <c r="H136" s="4">
        <f>'Transaction Log'!$F136*'Transaction Log'!$E136</f>
        <v>285.68</v>
      </c>
    </row>
    <row r="137" spans="2:8" x14ac:dyDescent="0.45">
      <c r="B137" t="e" vm="6">
        <v>#VALUE!</v>
      </c>
      <c r="C137" t="s">
        <v>77</v>
      </c>
      <c r="D137" s="19">
        <v>45709</v>
      </c>
      <c r="F137" s="4"/>
      <c r="G137" s="4">
        <v>0.36</v>
      </c>
      <c r="H137" s="4">
        <f>'Transaction Log'!$F137*'Transaction Log'!$E137</f>
        <v>0</v>
      </c>
    </row>
    <row r="138" spans="2:8" x14ac:dyDescent="0.45">
      <c r="B138" t="e" vm="25">
        <v>#VALUE!</v>
      </c>
      <c r="C138" t="s">
        <v>78</v>
      </c>
      <c r="D138" s="19">
        <v>45715</v>
      </c>
      <c r="E138">
        <v>2</v>
      </c>
      <c r="F138" s="4">
        <v>28.04</v>
      </c>
      <c r="G138" s="4"/>
      <c r="H138" s="4">
        <f>'Transaction Log'!$F138*'Transaction Log'!$E138</f>
        <v>56.08</v>
      </c>
    </row>
    <row r="139" spans="2:8" x14ac:dyDescent="0.45">
      <c r="B139" t="e" vm="1">
        <v>#VALUE!</v>
      </c>
      <c r="C139" t="s">
        <v>78</v>
      </c>
      <c r="D139" s="19">
        <v>45715</v>
      </c>
      <c r="E139">
        <v>168</v>
      </c>
      <c r="F139" s="4">
        <v>34.811904761904756</v>
      </c>
      <c r="G139" s="4"/>
      <c r="H139" s="4">
        <f>'Transaction Log'!$F139*'Transaction Log'!$E139</f>
        <v>5848.3999999999987</v>
      </c>
    </row>
    <row r="140" spans="2:8" x14ac:dyDescent="0.45">
      <c r="B140" t="e" vm="11">
        <v>#VALUE!</v>
      </c>
      <c r="C140" t="s">
        <v>78</v>
      </c>
      <c r="D140" s="19">
        <v>45715</v>
      </c>
      <c r="E140">
        <v>56</v>
      </c>
      <c r="F140" s="4">
        <v>18.79</v>
      </c>
      <c r="G140" s="4"/>
      <c r="H140" s="4">
        <f>'Transaction Log'!$F140*'Transaction Log'!$E140</f>
        <v>1052.24</v>
      </c>
    </row>
    <row r="141" spans="2:8" x14ac:dyDescent="0.45">
      <c r="B141" t="e" vm="2">
        <v>#VALUE!</v>
      </c>
      <c r="C141" t="s">
        <v>78</v>
      </c>
      <c r="D141" s="19">
        <v>45715</v>
      </c>
      <c r="E141">
        <v>52</v>
      </c>
      <c r="F141" s="4">
        <v>152.04</v>
      </c>
      <c r="G141" s="4"/>
      <c r="H141" s="4">
        <f>'Transaction Log'!$F141*'Transaction Log'!$E141</f>
        <v>7906.08</v>
      </c>
    </row>
    <row r="142" spans="2:8" x14ac:dyDescent="0.45">
      <c r="B142" t="e" vm="4">
        <v>#VALUE!</v>
      </c>
      <c r="C142" t="s">
        <v>78</v>
      </c>
      <c r="D142" s="19">
        <v>45715</v>
      </c>
      <c r="E142">
        <v>7</v>
      </c>
      <c r="F142" s="4">
        <v>30.13</v>
      </c>
      <c r="G142" s="4"/>
      <c r="H142" s="4">
        <f>'Transaction Log'!$F142*'Transaction Log'!$E142</f>
        <v>210.91</v>
      </c>
    </row>
    <row r="143" spans="2:8" x14ac:dyDescent="0.45">
      <c r="B143" t="e" vm="3">
        <v>#VALUE!</v>
      </c>
      <c r="C143" t="s">
        <v>78</v>
      </c>
      <c r="D143" s="19">
        <v>45715</v>
      </c>
      <c r="E143">
        <v>11</v>
      </c>
      <c r="F143" s="4">
        <v>45.31</v>
      </c>
      <c r="G143" s="4"/>
      <c r="H143" s="4">
        <f>'Transaction Log'!$F143*'Transaction Log'!$E143</f>
        <v>498.41</v>
      </c>
    </row>
    <row r="144" spans="2:8" x14ac:dyDescent="0.45">
      <c r="B144" t="e" vm="24">
        <v>#VALUE!</v>
      </c>
      <c r="C144" t="s">
        <v>78</v>
      </c>
      <c r="D144" s="19">
        <v>45715</v>
      </c>
      <c r="E144">
        <v>4</v>
      </c>
      <c r="F144" s="4">
        <v>36.1</v>
      </c>
      <c r="G144" s="4"/>
      <c r="H144" s="4">
        <f>'Transaction Log'!$F144*'Transaction Log'!$E144</f>
        <v>144.4</v>
      </c>
    </row>
    <row r="145" spans="2:8" x14ac:dyDescent="0.45">
      <c r="B145" t="e" vm="21">
        <v>#VALUE!</v>
      </c>
      <c r="C145" t="s">
        <v>78</v>
      </c>
      <c r="D145" s="19">
        <v>45715</v>
      </c>
      <c r="E145">
        <v>6</v>
      </c>
      <c r="F145" s="4">
        <v>85.28</v>
      </c>
      <c r="G145" s="4"/>
      <c r="H145" s="4">
        <f>'Transaction Log'!$F145*'Transaction Log'!$E145</f>
        <v>511.68</v>
      </c>
    </row>
    <row r="146" spans="2:8" x14ac:dyDescent="0.45">
      <c r="B146" t="e" vm="23">
        <v>#VALUE!</v>
      </c>
      <c r="C146" t="s">
        <v>78</v>
      </c>
      <c r="D146" s="19">
        <v>45715</v>
      </c>
      <c r="E146">
        <v>2</v>
      </c>
      <c r="F146" s="4">
        <v>82.99</v>
      </c>
      <c r="G146" s="4"/>
      <c r="H146" s="4">
        <f>'Transaction Log'!$F146*'Transaction Log'!$E146</f>
        <v>165.98</v>
      </c>
    </row>
    <row r="147" spans="2:8" x14ac:dyDescent="0.45">
      <c r="B147" t="e" vm="6">
        <v>#VALUE!</v>
      </c>
      <c r="C147" t="s">
        <v>78</v>
      </c>
      <c r="D147" s="19">
        <v>45715</v>
      </c>
      <c r="E147">
        <v>18</v>
      </c>
      <c r="F147" s="4">
        <v>35.650000000000006</v>
      </c>
      <c r="G147" s="4"/>
      <c r="H147" s="4">
        <f>'Transaction Log'!$F147*'Transaction Log'!$E147</f>
        <v>641.70000000000005</v>
      </c>
    </row>
    <row r="148" spans="2:8" x14ac:dyDescent="0.45">
      <c r="B148" t="e" vm="9">
        <v>#VALUE!</v>
      </c>
      <c r="C148" t="s">
        <v>78</v>
      </c>
      <c r="D148" s="19">
        <v>45715</v>
      </c>
      <c r="E148">
        <v>4</v>
      </c>
      <c r="F148" s="4">
        <v>59.7</v>
      </c>
      <c r="G148" s="4"/>
      <c r="H148" s="4">
        <f>'Transaction Log'!$F148*'Transaction Log'!$E148</f>
        <v>238.8</v>
      </c>
    </row>
    <row r="149" spans="2:8" x14ac:dyDescent="0.45">
      <c r="B149" t="e" vm="10">
        <v>#VALUE!</v>
      </c>
      <c r="C149" t="s">
        <v>78</v>
      </c>
      <c r="D149" s="19">
        <v>45715</v>
      </c>
      <c r="E149">
        <v>9</v>
      </c>
      <c r="F149" s="4">
        <v>53.25</v>
      </c>
      <c r="G149" s="4"/>
      <c r="H149" s="4">
        <f>'Transaction Log'!$F149*'Transaction Log'!$E149</f>
        <v>479.25</v>
      </c>
    </row>
    <row r="150" spans="2:8" x14ac:dyDescent="0.45">
      <c r="B150" t="e" vm="4">
        <v>#VALUE!</v>
      </c>
      <c r="C150" t="s">
        <v>76</v>
      </c>
      <c r="D150" s="19">
        <v>45716</v>
      </c>
      <c r="E150">
        <v>5</v>
      </c>
      <c r="F150" s="4">
        <v>29.419999999999998</v>
      </c>
      <c r="G150" s="4"/>
      <c r="H150" s="4">
        <f>'Transaction Log'!$F150*'Transaction Log'!$E150</f>
        <v>147.1</v>
      </c>
    </row>
    <row r="151" spans="2:8" x14ac:dyDescent="0.45">
      <c r="B151" t="e" vm="26">
        <v>#VALUE!</v>
      </c>
      <c r="C151" t="s">
        <v>76</v>
      </c>
      <c r="D151" s="19">
        <v>45716</v>
      </c>
      <c r="E151">
        <v>5</v>
      </c>
      <c r="F151" s="4">
        <v>28.51</v>
      </c>
      <c r="G151" s="4"/>
      <c r="H151" s="4">
        <f>'Transaction Log'!$F151*'Transaction Log'!$E151</f>
        <v>142.55000000000001</v>
      </c>
    </row>
    <row r="152" spans="2:8" x14ac:dyDescent="0.45">
      <c r="B152" t="e" vm="8">
        <v>#VALUE!</v>
      </c>
      <c r="C152" t="s">
        <v>76</v>
      </c>
      <c r="D152" s="19">
        <v>45716</v>
      </c>
      <c r="E152">
        <v>2</v>
      </c>
      <c r="F152" s="4">
        <v>165.95</v>
      </c>
      <c r="G152" s="4"/>
      <c r="H152" s="4">
        <f>'Transaction Log'!$F152*'Transaction Log'!$E152</f>
        <v>331.9</v>
      </c>
    </row>
    <row r="153" spans="2:8" x14ac:dyDescent="0.45">
      <c r="B153" t="e" vm="11">
        <v>#VALUE!</v>
      </c>
      <c r="C153" t="s">
        <v>76</v>
      </c>
      <c r="D153" s="19">
        <v>45716</v>
      </c>
      <c r="E153">
        <v>50</v>
      </c>
      <c r="F153" s="4">
        <v>18.88</v>
      </c>
      <c r="G153" s="4"/>
      <c r="H153" s="4">
        <f>'Transaction Log'!$F153*'Transaction Log'!$E153</f>
        <v>944</v>
      </c>
    </row>
    <row r="154" spans="2:8" x14ac:dyDescent="0.45">
      <c r="B154" t="e" vm="2">
        <v>#VALUE!</v>
      </c>
      <c r="C154" t="s">
        <v>76</v>
      </c>
      <c r="D154" s="19">
        <v>45716</v>
      </c>
      <c r="E154">
        <v>2</v>
      </c>
      <c r="F154" s="4">
        <v>152.34</v>
      </c>
      <c r="G154" s="4"/>
      <c r="H154" s="4">
        <f>'Transaction Log'!$F154*'Transaction Log'!$E154</f>
        <v>304.68</v>
      </c>
    </row>
    <row r="155" spans="2:8" x14ac:dyDescent="0.45">
      <c r="B155" t="e" vm="2">
        <v>#VALUE!</v>
      </c>
      <c r="C155" t="s">
        <v>76</v>
      </c>
      <c r="D155" s="19">
        <v>45716</v>
      </c>
      <c r="E155">
        <v>20</v>
      </c>
      <c r="F155" s="4">
        <v>151.34</v>
      </c>
      <c r="G155" s="4"/>
      <c r="H155" s="4">
        <f>'Transaction Log'!$F155*'Transaction Log'!$E155</f>
        <v>3026.8</v>
      </c>
    </row>
    <row r="156" spans="2:8" x14ac:dyDescent="0.45">
      <c r="B156" t="e" vm="4">
        <v>#VALUE!</v>
      </c>
      <c r="C156" t="s">
        <v>76</v>
      </c>
      <c r="D156" s="19">
        <v>45716</v>
      </c>
      <c r="E156">
        <v>5</v>
      </c>
      <c r="F156" s="4">
        <v>28.589999999999996</v>
      </c>
      <c r="G156" s="4"/>
      <c r="H156" s="4">
        <f>'Transaction Log'!$F156*'Transaction Log'!$E156</f>
        <v>142.94999999999999</v>
      </c>
    </row>
    <row r="157" spans="2:8" x14ac:dyDescent="0.45">
      <c r="B157" t="e" vm="1">
        <v>#VALUE!</v>
      </c>
      <c r="C157" t="s">
        <v>76</v>
      </c>
      <c r="D157" s="19">
        <v>45716</v>
      </c>
      <c r="E157">
        <v>100</v>
      </c>
      <c r="F157" s="4">
        <v>34.664999999999999</v>
      </c>
      <c r="G157" s="4"/>
      <c r="H157" s="4">
        <f>'Transaction Log'!$F157*'Transaction Log'!$E157</f>
        <v>3466.5</v>
      </c>
    </row>
    <row r="158" spans="2:8" x14ac:dyDescent="0.45">
      <c r="B158" t="e" vm="3">
        <v>#VALUE!</v>
      </c>
      <c r="C158" t="s">
        <v>76</v>
      </c>
      <c r="D158" s="19">
        <v>45716</v>
      </c>
      <c r="E158">
        <v>20</v>
      </c>
      <c r="F158" s="4">
        <v>44.64</v>
      </c>
      <c r="G158" s="4"/>
      <c r="H158" s="4">
        <f>'Transaction Log'!$F158*'Transaction Log'!$E158</f>
        <v>892.8</v>
      </c>
    </row>
    <row r="159" spans="2:8" x14ac:dyDescent="0.45">
      <c r="B159" t="e" vm="2">
        <v>#VALUE!</v>
      </c>
      <c r="C159" t="s">
        <v>76</v>
      </c>
      <c r="D159" s="19">
        <v>45716</v>
      </c>
      <c r="E159">
        <v>10</v>
      </c>
      <c r="F159" s="4">
        <v>151.09</v>
      </c>
      <c r="G159" s="4"/>
      <c r="H159" s="4">
        <f>'Transaction Log'!$F159*'Transaction Log'!$E159</f>
        <v>1510.9</v>
      </c>
    </row>
    <row r="160" spans="2:8" x14ac:dyDescent="0.45">
      <c r="B160" t="e" vm="2">
        <v>#VALUE!</v>
      </c>
      <c r="C160" t="s">
        <v>76</v>
      </c>
      <c r="D160" s="19">
        <v>45720</v>
      </c>
      <c r="E160">
        <v>5</v>
      </c>
      <c r="F160" s="4">
        <v>151.32</v>
      </c>
      <c r="G160" s="4"/>
      <c r="H160" s="4">
        <f>'Transaction Log'!$F160*'Transaction Log'!$E160</f>
        <v>756.59999999999991</v>
      </c>
    </row>
    <row r="161" spans="2:8" x14ac:dyDescent="0.45">
      <c r="B161" t="e" vm="13">
        <v>#VALUE!</v>
      </c>
      <c r="C161" t="s">
        <v>76</v>
      </c>
      <c r="D161" s="19">
        <v>45720</v>
      </c>
      <c r="E161">
        <v>121</v>
      </c>
      <c r="F161" s="4">
        <v>49.92586776859504</v>
      </c>
      <c r="G161" s="4"/>
      <c r="H161" s="4">
        <f>'Transaction Log'!$F161*'Transaction Log'!$E161</f>
        <v>6041.03</v>
      </c>
    </row>
    <row r="162" spans="2:8" x14ac:dyDescent="0.45">
      <c r="B162" t="e" vm="13">
        <v>#VALUE!</v>
      </c>
      <c r="C162" t="s">
        <v>76</v>
      </c>
      <c r="D162" s="19">
        <v>45723</v>
      </c>
      <c r="E162">
        <v>4</v>
      </c>
      <c r="F162" s="4">
        <v>49.94</v>
      </c>
      <c r="G162" s="4"/>
      <c r="H162" s="4">
        <f>'Transaction Log'!$F162*'Transaction Log'!$E162</f>
        <v>199.76</v>
      </c>
    </row>
    <row r="163" spans="2:8" x14ac:dyDescent="0.45">
      <c r="B163" t="e" vm="26">
        <v>#VALUE!</v>
      </c>
      <c r="C163" t="s">
        <v>78</v>
      </c>
      <c r="D163" s="19">
        <v>45723</v>
      </c>
      <c r="E163">
        <v>5</v>
      </c>
      <c r="F163" s="4">
        <v>28.810000000000002</v>
      </c>
      <c r="G163" s="4"/>
      <c r="H163" s="4">
        <f>'Transaction Log'!$F163*'Transaction Log'!$E163</f>
        <v>144.05000000000001</v>
      </c>
    </row>
    <row r="164" spans="2:8" x14ac:dyDescent="0.45">
      <c r="B164" t="e" vm="2">
        <v>#VALUE!</v>
      </c>
      <c r="C164" t="s">
        <v>76</v>
      </c>
      <c r="D164" s="19">
        <v>45728</v>
      </c>
      <c r="E164">
        <v>2</v>
      </c>
      <c r="F164" s="4">
        <v>144</v>
      </c>
      <c r="G164" s="4"/>
      <c r="H164" s="4">
        <f>'Transaction Log'!$F164*'Transaction Log'!$E164</f>
        <v>288</v>
      </c>
    </row>
    <row r="165" spans="2:8" x14ac:dyDescent="0.45">
      <c r="B165" t="e" vm="1">
        <v>#VALUE!</v>
      </c>
      <c r="C165" t="s">
        <v>76</v>
      </c>
      <c r="D165" s="19">
        <v>45728</v>
      </c>
      <c r="E165">
        <v>2</v>
      </c>
      <c r="F165" s="4">
        <v>33.71</v>
      </c>
      <c r="G165" s="4"/>
      <c r="H165" s="4">
        <f>'Transaction Log'!$F165*'Transaction Log'!$E165</f>
        <v>67.42</v>
      </c>
    </row>
    <row r="166" spans="2:8" x14ac:dyDescent="0.45">
      <c r="B166" t="e" vm="11">
        <v>#VALUE!</v>
      </c>
      <c r="C166" t="s">
        <v>76</v>
      </c>
      <c r="D166" s="19">
        <v>45728</v>
      </c>
      <c r="E166">
        <v>2</v>
      </c>
      <c r="F166" s="4">
        <v>17.57</v>
      </c>
      <c r="G166" s="4"/>
      <c r="H166" s="4">
        <f>'Transaction Log'!$F166*'Transaction Log'!$E166</f>
        <v>35.14</v>
      </c>
    </row>
    <row r="167" spans="2:8" x14ac:dyDescent="0.45">
      <c r="B167" t="e" vm="1">
        <v>#VALUE!</v>
      </c>
      <c r="C167" t="s">
        <v>76</v>
      </c>
      <c r="D167" s="19">
        <v>45730</v>
      </c>
      <c r="E167">
        <v>2</v>
      </c>
      <c r="F167" s="4">
        <v>33.409999999999997</v>
      </c>
      <c r="G167" s="4"/>
      <c r="H167" s="4">
        <f>'Transaction Log'!$F167*'Transaction Log'!$E167</f>
        <v>66.819999999999993</v>
      </c>
    </row>
    <row r="168" spans="2:8" x14ac:dyDescent="0.45">
      <c r="B168" t="e" vm="1">
        <v>#VALUE!</v>
      </c>
      <c r="C168" t="s">
        <v>77</v>
      </c>
      <c r="D168" s="19">
        <v>45747</v>
      </c>
      <c r="F168" s="4"/>
      <c r="G168" s="4">
        <v>9.42</v>
      </c>
      <c r="H168" s="4">
        <f>'Transaction Log'!$F168*'Transaction Log'!$E168</f>
        <v>0</v>
      </c>
    </row>
    <row r="169" spans="2:8" x14ac:dyDescent="0.45">
      <c r="B169" t="e" vm="13">
        <v>#VALUE!</v>
      </c>
      <c r="C169" t="s">
        <v>77</v>
      </c>
      <c r="D169" s="19">
        <v>45749</v>
      </c>
      <c r="F169" s="4"/>
      <c r="G169" s="4">
        <v>18.75</v>
      </c>
      <c r="H169" s="4">
        <f>'Transaction Log'!$F169*'Transaction Log'!$E169</f>
        <v>0</v>
      </c>
    </row>
    <row r="170" spans="2:8" x14ac:dyDescent="0.45">
      <c r="B170" t="e" vm="2">
        <v>#VALUE!</v>
      </c>
      <c r="C170" t="s">
        <v>77</v>
      </c>
      <c r="D170" s="19">
        <v>45750</v>
      </c>
      <c r="F170" s="4"/>
      <c r="G170" s="4">
        <v>15.54</v>
      </c>
      <c r="H170" s="4">
        <f>'Transaction Log'!$F170*'Transaction Log'!$E170</f>
        <v>0</v>
      </c>
    </row>
    <row r="171" spans="2:8" x14ac:dyDescent="0.45">
      <c r="B171" t="e" vm="1">
        <v>#VALUE!</v>
      </c>
      <c r="C171" t="s">
        <v>76</v>
      </c>
      <c r="D171" s="19">
        <v>45751</v>
      </c>
      <c r="E171">
        <v>3</v>
      </c>
      <c r="F171" s="4">
        <v>32.449999999999996</v>
      </c>
      <c r="G171" s="4"/>
      <c r="H171" s="4">
        <f>'Transaction Log'!$F171*'Transaction Log'!$E171</f>
        <v>97.35</v>
      </c>
    </row>
    <row r="172" spans="2:8" x14ac:dyDescent="0.45">
      <c r="B172" t="e" vm="2">
        <v>#VALUE!</v>
      </c>
      <c r="C172" t="s">
        <v>76</v>
      </c>
      <c r="D172" s="19">
        <v>45751</v>
      </c>
      <c r="E172">
        <v>5</v>
      </c>
      <c r="F172" s="4">
        <v>136.22999999999999</v>
      </c>
      <c r="G172" s="4"/>
      <c r="H172" s="4">
        <f>'Transaction Log'!$F172*'Transaction Log'!$E172</f>
        <v>681.15</v>
      </c>
    </row>
    <row r="173" spans="2:8" x14ac:dyDescent="0.45">
      <c r="B173" t="e" vm="7">
        <v>#VALUE!</v>
      </c>
      <c r="C173" t="s">
        <v>76</v>
      </c>
      <c r="D173" s="19">
        <v>45751</v>
      </c>
      <c r="E173">
        <v>5</v>
      </c>
      <c r="F173" s="4">
        <v>21.52</v>
      </c>
      <c r="G173" s="4"/>
      <c r="H173" s="4">
        <f>'Transaction Log'!$F173*'Transaction Log'!$E173</f>
        <v>107.6</v>
      </c>
    </row>
    <row r="174" spans="2:8" x14ac:dyDescent="0.45">
      <c r="B174" t="e" vm="6">
        <v>#VALUE!</v>
      </c>
      <c r="C174" t="s">
        <v>76</v>
      </c>
      <c r="D174" s="19">
        <v>45751</v>
      </c>
      <c r="E174">
        <v>10</v>
      </c>
      <c r="F174" s="4">
        <v>29.869999999999997</v>
      </c>
      <c r="G174" s="4"/>
      <c r="H174" s="4">
        <f>'Transaction Log'!$F174*'Transaction Log'!$E174</f>
        <v>298.7</v>
      </c>
    </row>
    <row r="175" spans="2:8" x14ac:dyDescent="0.45">
      <c r="B175" t="e" vm="1">
        <v>#VALUE!</v>
      </c>
      <c r="C175" t="s">
        <v>76</v>
      </c>
      <c r="D175" s="19">
        <v>45751</v>
      </c>
      <c r="E175">
        <v>10</v>
      </c>
      <c r="F175" s="4">
        <v>32.47</v>
      </c>
      <c r="G175" s="4"/>
      <c r="H175" s="4">
        <f>'Transaction Log'!$F175*'Transaction Log'!$E175</f>
        <v>324.7</v>
      </c>
    </row>
    <row r="176" spans="2:8" x14ac:dyDescent="0.45">
      <c r="B176" t="e" vm="3">
        <v>#VALUE!</v>
      </c>
      <c r="C176" t="s">
        <v>77</v>
      </c>
      <c r="D176" s="19">
        <v>45751</v>
      </c>
      <c r="F176" s="4"/>
      <c r="G176" s="4">
        <v>0.2</v>
      </c>
      <c r="H176" s="4">
        <f>'Transaction Log'!$F176*'Transaction Log'!$E176</f>
        <v>0</v>
      </c>
    </row>
    <row r="177" spans="2:8" x14ac:dyDescent="0.45">
      <c r="B177" t="e" vm="1">
        <v>#VALUE!</v>
      </c>
      <c r="C177" t="s">
        <v>76</v>
      </c>
      <c r="D177" s="19">
        <v>45755</v>
      </c>
      <c r="E177">
        <v>2</v>
      </c>
      <c r="F177" s="4">
        <v>30.05</v>
      </c>
      <c r="G177" s="4"/>
      <c r="H177" s="4">
        <f>'Transaction Log'!$F177*'Transaction Log'!$E177</f>
        <v>60.1</v>
      </c>
    </row>
    <row r="178" spans="2:8" x14ac:dyDescent="0.45">
      <c r="B178" t="e" vm="2">
        <v>#VALUE!</v>
      </c>
      <c r="C178" t="s">
        <v>76</v>
      </c>
      <c r="D178" s="19">
        <v>45755</v>
      </c>
      <c r="E178">
        <v>1</v>
      </c>
      <c r="F178" s="4">
        <v>126.53</v>
      </c>
      <c r="G178" s="4"/>
      <c r="H178" s="4">
        <f>'Transaction Log'!$F178*'Transaction Log'!$E178</f>
        <v>126.53</v>
      </c>
    </row>
    <row r="179" spans="2:8" x14ac:dyDescent="0.45">
      <c r="B179" t="e" vm="6">
        <v>#VALUE!</v>
      </c>
      <c r="C179" t="s">
        <v>76</v>
      </c>
      <c r="D179" s="19">
        <v>45756</v>
      </c>
      <c r="E179">
        <v>4</v>
      </c>
      <c r="F179" s="4">
        <v>25.02</v>
      </c>
      <c r="G179" s="4"/>
      <c r="H179" s="4">
        <f>'Transaction Log'!$F179*'Transaction Log'!$E179</f>
        <v>100.08</v>
      </c>
    </row>
    <row r="180" spans="2:8" x14ac:dyDescent="0.45">
      <c r="B180" t="e" vm="4">
        <v>#VALUE!</v>
      </c>
      <c r="C180" t="s">
        <v>77</v>
      </c>
      <c r="D180" s="19">
        <v>45756</v>
      </c>
      <c r="F180" s="4"/>
      <c r="G180" s="4">
        <v>0.02</v>
      </c>
      <c r="H180" s="4">
        <f>'Transaction Log'!$F180*'Transaction Log'!$E180</f>
        <v>0</v>
      </c>
    </row>
    <row r="181" spans="2:8" x14ac:dyDescent="0.45">
      <c r="B181" t="e" vm="4">
        <v>#VALUE!</v>
      </c>
      <c r="C181" t="s">
        <v>76</v>
      </c>
      <c r="D181" s="19">
        <v>45758</v>
      </c>
      <c r="E181">
        <v>8.0000000000000004E-4</v>
      </c>
      <c r="F181" s="4">
        <v>25</v>
      </c>
      <c r="G181" s="4"/>
      <c r="H181" s="4">
        <f>'Transaction Log'!$F181*'Transaction Log'!$E181</f>
        <v>0.02</v>
      </c>
    </row>
    <row r="182" spans="2:8" x14ac:dyDescent="0.45">
      <c r="B182" t="e" vm="2">
        <v>#VALUE!</v>
      </c>
      <c r="C182" t="s">
        <v>76</v>
      </c>
      <c r="D182" s="19">
        <v>45758</v>
      </c>
      <c r="E182">
        <v>1</v>
      </c>
      <c r="F182" s="4">
        <v>128.01</v>
      </c>
      <c r="G182" s="4"/>
      <c r="H182" s="4">
        <f>'Transaction Log'!$F182*'Transaction Log'!$E182</f>
        <v>128.01</v>
      </c>
    </row>
    <row r="183" spans="2:8" x14ac:dyDescent="0.45">
      <c r="B183" t="e" vm="2">
        <v>#VALUE!</v>
      </c>
      <c r="C183" t="s">
        <v>76</v>
      </c>
      <c r="D183" s="19">
        <v>45758</v>
      </c>
      <c r="E183">
        <v>1</v>
      </c>
      <c r="F183" s="4">
        <v>129.76</v>
      </c>
      <c r="G183" s="4"/>
      <c r="H183" s="4">
        <f>'Transaction Log'!$F183*'Transaction Log'!$E183</f>
        <v>129.76</v>
      </c>
    </row>
    <row r="184" spans="2:8" x14ac:dyDescent="0.45">
      <c r="B184" t="e" vm="13">
        <v>#VALUE!</v>
      </c>
      <c r="C184" t="s">
        <v>77</v>
      </c>
      <c r="D184" s="19">
        <v>45779</v>
      </c>
      <c r="F184" s="4"/>
      <c r="G184" s="4">
        <v>18.75</v>
      </c>
      <c r="H184" s="4">
        <f>'Transaction Log'!$F184*'Transaction Log'!$E184</f>
        <v>0</v>
      </c>
    </row>
    <row r="185" spans="2:8" x14ac:dyDescent="0.45">
      <c r="B185" t="e" vm="13">
        <v>#VALUE!</v>
      </c>
      <c r="C185" t="s">
        <v>76</v>
      </c>
      <c r="D185" s="19">
        <v>45783</v>
      </c>
      <c r="E185">
        <v>0.37590000000000001</v>
      </c>
      <c r="F185" s="4">
        <v>49.880287310454904</v>
      </c>
      <c r="G185" s="4"/>
      <c r="H185" s="4">
        <f>'Transaction Log'!$F185*'Transaction Log'!$E185</f>
        <v>18.75</v>
      </c>
    </row>
    <row r="186" spans="2:8" x14ac:dyDescent="0.45">
      <c r="B186" t="e" vm="6">
        <v>#VALUE!</v>
      </c>
      <c r="C186" t="s">
        <v>77</v>
      </c>
      <c r="D186" s="19">
        <v>45800</v>
      </c>
      <c r="F186" s="4"/>
      <c r="G186" s="4">
        <v>0.53</v>
      </c>
      <c r="H186" s="4">
        <f>'Transaction Log'!$F186*'Transaction Log'!$E186</f>
        <v>0</v>
      </c>
    </row>
    <row r="187" spans="2:8" x14ac:dyDescent="0.45">
      <c r="B187" t="e" vm="8">
        <v>#VALUE!</v>
      </c>
      <c r="C187" t="s">
        <v>77</v>
      </c>
      <c r="D187" s="19">
        <v>45800</v>
      </c>
      <c r="F187" s="4"/>
      <c r="G187" s="4">
        <v>2.96</v>
      </c>
      <c r="H187" s="4">
        <f>'Transaction Log'!$F187*'Transaction Log'!$E187</f>
        <v>0</v>
      </c>
    </row>
    <row r="188" spans="2:8" x14ac:dyDescent="0.45">
      <c r="B188" t="e" vm="6">
        <v>#VALUE!</v>
      </c>
      <c r="C188" t="s">
        <v>76</v>
      </c>
      <c r="D188" s="19">
        <v>45803</v>
      </c>
      <c r="E188">
        <v>1.5800000000000002E-2</v>
      </c>
      <c r="F188" s="4">
        <v>28.481012658227847</v>
      </c>
      <c r="G188" s="4"/>
      <c r="H188" s="4">
        <f>'Transaction Log'!$F188*'Transaction Log'!$E188</f>
        <v>0.45</v>
      </c>
    </row>
    <row r="189" spans="2:8" x14ac:dyDescent="0.45">
      <c r="B189" t="e" vm="8">
        <v>#VALUE!</v>
      </c>
      <c r="C189" t="s">
        <v>76</v>
      </c>
      <c r="D189" s="19">
        <v>45804</v>
      </c>
      <c r="E189">
        <v>1.67E-2</v>
      </c>
      <c r="F189" s="4">
        <v>176.64670658682635</v>
      </c>
      <c r="G189" s="4"/>
      <c r="H189" s="4">
        <f>'Transaction Log'!$F189*'Transaction Log'!$E189</f>
        <v>2.95</v>
      </c>
    </row>
    <row r="190" spans="2:8" x14ac:dyDescent="0.45">
      <c r="B190" t="e" vm="13">
        <v>#VALUE!</v>
      </c>
      <c r="C190" t="s">
        <v>77</v>
      </c>
      <c r="D190" s="19">
        <v>45811</v>
      </c>
      <c r="F190" s="4"/>
      <c r="G190" s="4">
        <v>15.05</v>
      </c>
      <c r="H190" s="4">
        <f>'Transaction Log'!$F190*'Transaction Log'!$E190</f>
        <v>0</v>
      </c>
    </row>
    <row r="191" spans="2:8" x14ac:dyDescent="0.45">
      <c r="B191" t="e" vm="13">
        <v>#VALUE!</v>
      </c>
      <c r="C191" t="s">
        <v>76</v>
      </c>
      <c r="D191" s="19">
        <v>45813</v>
      </c>
      <c r="E191">
        <v>0.30170000000000002</v>
      </c>
      <c r="F191" s="4">
        <v>49.88399071925754</v>
      </c>
      <c r="G191" s="4"/>
      <c r="H191" s="4">
        <f>'Transaction Log'!$F191*'Transaction Log'!$E191</f>
        <v>15.05</v>
      </c>
    </row>
    <row r="192" spans="2:8" x14ac:dyDescent="0.45">
      <c r="B192" t="e" vm="1">
        <v>#VALUE!</v>
      </c>
      <c r="C192" t="s">
        <v>77</v>
      </c>
      <c r="D192" s="19">
        <v>45838</v>
      </c>
      <c r="F192" s="4"/>
      <c r="G192" s="4">
        <v>31.94</v>
      </c>
      <c r="H192" s="4">
        <f>'Transaction Log'!$F192*'Transaction Log'!$E192</f>
        <v>0</v>
      </c>
    </row>
    <row r="193" spans="2:8" x14ac:dyDescent="0.45">
      <c r="B193" t="e" vm="1">
        <v>#VALUE!</v>
      </c>
      <c r="C193" t="s">
        <v>76</v>
      </c>
      <c r="D193" s="19">
        <v>45841</v>
      </c>
      <c r="E193">
        <v>0.89970000000000006</v>
      </c>
      <c r="F193" s="4">
        <v>35.500722463043239</v>
      </c>
      <c r="G193" s="4"/>
      <c r="H193" s="4">
        <f>'Transaction Log'!$F193*'Transaction Log'!$E193</f>
        <v>31.940000000000005</v>
      </c>
    </row>
    <row r="194" spans="2:8" x14ac:dyDescent="0.45">
      <c r="B194" t="e" vm="13">
        <v>#VALUE!</v>
      </c>
      <c r="C194" t="s">
        <v>77</v>
      </c>
      <c r="D194" s="19">
        <v>45841</v>
      </c>
      <c r="F194" s="4"/>
      <c r="G194" s="4">
        <v>15.08</v>
      </c>
      <c r="H194" s="4">
        <f>'Transaction Log'!$F194*'Transaction Log'!$E194</f>
        <v>0</v>
      </c>
    </row>
    <row r="195" spans="2:8" x14ac:dyDescent="0.45">
      <c r="B195" t="e" vm="13">
        <v>#VALUE!</v>
      </c>
      <c r="C195" t="s">
        <v>76</v>
      </c>
      <c r="D195" s="19">
        <v>45845</v>
      </c>
      <c r="E195">
        <v>0.30230000000000001</v>
      </c>
      <c r="F195" s="4">
        <v>49.884220972543829</v>
      </c>
      <c r="G195" s="4"/>
      <c r="H195" s="4">
        <f>'Transaction Log'!$F195*'Transaction Log'!$E195</f>
        <v>15.08</v>
      </c>
    </row>
    <row r="196" spans="2:8" x14ac:dyDescent="0.45">
      <c r="B196" t="e" vm="2">
        <v>#VALUE!</v>
      </c>
      <c r="C196" t="s">
        <v>77</v>
      </c>
      <c r="D196" s="19">
        <v>45846</v>
      </c>
      <c r="F196" s="4"/>
      <c r="G196" s="4">
        <v>17.36</v>
      </c>
      <c r="H196" s="4">
        <f>'Transaction Log'!$F196*'Transaction Log'!$E196</f>
        <v>0</v>
      </c>
    </row>
    <row r="197" spans="2:8" x14ac:dyDescent="0.45">
      <c r="B197" t="e" vm="3">
        <v>#VALUE!</v>
      </c>
      <c r="C197" t="s">
        <v>77</v>
      </c>
      <c r="D197" s="19">
        <v>45846</v>
      </c>
      <c r="F197" s="4"/>
      <c r="G197" s="4">
        <v>0.2</v>
      </c>
      <c r="H197" s="4">
        <f>'Transaction Log'!$F197*'Transaction Log'!$E197</f>
        <v>0</v>
      </c>
    </row>
    <row r="198" spans="2:8" x14ac:dyDescent="0.45">
      <c r="B198" t="e" vm="3">
        <v>#VALUE!</v>
      </c>
      <c r="C198" t="s">
        <v>76</v>
      </c>
      <c r="D198" s="19">
        <v>45848</v>
      </c>
      <c r="E198">
        <v>4.1999999999999997E-3</v>
      </c>
      <c r="F198" s="4">
        <v>47.619047619047628</v>
      </c>
      <c r="G198" s="4"/>
      <c r="H198" s="4">
        <f>'Transaction Log'!$F198*'Transaction Log'!$E198</f>
        <v>0.2</v>
      </c>
    </row>
    <row r="199" spans="2:8" x14ac:dyDescent="0.45">
      <c r="B199" t="e" vm="2">
        <v>#VALUE!</v>
      </c>
      <c r="C199" t="s">
        <v>76</v>
      </c>
      <c r="D199" s="19">
        <v>45848</v>
      </c>
      <c r="E199">
        <v>0.1144</v>
      </c>
      <c r="F199" s="4">
        <v>151.66083916083917</v>
      </c>
      <c r="G199" s="4"/>
      <c r="H199" s="4">
        <f>'Transaction Log'!$F199*'Transaction Log'!$E199</f>
        <v>17.350000000000001</v>
      </c>
    </row>
    <row r="200" spans="2:8" x14ac:dyDescent="0.45">
      <c r="B200" t="e" vm="4">
        <v>#VALUE!</v>
      </c>
      <c r="C200" t="s">
        <v>77</v>
      </c>
      <c r="D200" s="19">
        <v>45848</v>
      </c>
      <c r="F200" s="4"/>
      <c r="G200" s="4">
        <v>0.02</v>
      </c>
      <c r="H200" s="4">
        <f>'Transaction Log'!$F200*'Transaction Log'!$E200</f>
        <v>0</v>
      </c>
    </row>
    <row r="201" spans="2:8" x14ac:dyDescent="0.45">
      <c r="B201" t="e" vm="4">
        <v>#VALUE!</v>
      </c>
      <c r="C201" t="s">
        <v>76</v>
      </c>
      <c r="D201" s="19">
        <v>45849</v>
      </c>
      <c r="E201">
        <v>5.0000000000000001E-4</v>
      </c>
      <c r="F201" s="4">
        <v>40</v>
      </c>
      <c r="G201" s="4"/>
      <c r="H201" s="4">
        <f>'Transaction Log'!$F201*'Transaction Log'!$E201</f>
        <v>0.02</v>
      </c>
    </row>
    <row r="202" spans="2:8" x14ac:dyDescent="0.45">
      <c r="B202" t="e" vm="13">
        <v>#VALUE!</v>
      </c>
      <c r="C202" t="s">
        <v>77</v>
      </c>
      <c r="D202" s="19">
        <v>45856</v>
      </c>
      <c r="F202" s="4"/>
      <c r="G202" s="4">
        <v>1.89</v>
      </c>
      <c r="H202" s="4">
        <f>'Transaction Log'!$F202*'Transaction Log'!$E202</f>
        <v>0</v>
      </c>
    </row>
    <row r="203" spans="2:8" x14ac:dyDescent="0.45">
      <c r="B203" t="e" vm="13">
        <v>#VALUE!</v>
      </c>
      <c r="C203" t="s">
        <v>76</v>
      </c>
      <c r="D203" s="19">
        <v>45859</v>
      </c>
      <c r="E203">
        <v>3.78E-2</v>
      </c>
      <c r="F203" s="4">
        <v>50</v>
      </c>
      <c r="G203" s="4"/>
      <c r="H203" s="4">
        <f>'Transaction Log'!$F203*'Transaction Log'!$E203</f>
        <v>1.8900000000000001</v>
      </c>
    </row>
    <row r="204" spans="2:8" x14ac:dyDescent="0.45">
      <c r="B204" t="e" vm="13">
        <v>#VALUE!</v>
      </c>
      <c r="C204" t="s">
        <v>77</v>
      </c>
      <c r="D204" s="19">
        <v>45874</v>
      </c>
      <c r="F204" s="4"/>
      <c r="G204" s="4">
        <v>12.6</v>
      </c>
      <c r="H204" s="4">
        <f>'Transaction Log'!$F204*'Transaction Log'!$E204</f>
        <v>0</v>
      </c>
    </row>
    <row r="205" spans="2:8" x14ac:dyDescent="0.45">
      <c r="B205" t="e" vm="13">
        <v>#VALUE!</v>
      </c>
      <c r="C205" t="s">
        <v>78</v>
      </c>
      <c r="D205" s="19">
        <v>45876</v>
      </c>
      <c r="E205">
        <v>50</v>
      </c>
      <c r="F205" s="4">
        <v>49.87</v>
      </c>
      <c r="G205" s="4"/>
      <c r="H205" s="4">
        <f>'Transaction Log'!$F205*'Transaction Log'!$E205</f>
        <v>2493.5</v>
      </c>
    </row>
    <row r="206" spans="2:8" x14ac:dyDescent="0.45">
      <c r="B206" t="e" vm="13">
        <v>#VALUE!</v>
      </c>
      <c r="C206" t="s">
        <v>76</v>
      </c>
      <c r="D206" s="19">
        <v>45876</v>
      </c>
      <c r="E206">
        <v>0.25259999999999999</v>
      </c>
      <c r="F206" s="4">
        <v>49.881235154394297</v>
      </c>
      <c r="G206" s="4"/>
      <c r="H206" s="4">
        <f>'Transaction Log'!$F206*'Transaction Log'!$E206</f>
        <v>12.6</v>
      </c>
    </row>
    <row r="207" spans="2:8" x14ac:dyDescent="0.45">
      <c r="B207" t="e" vm="5">
        <v>#VALUE!</v>
      </c>
      <c r="C207" t="s">
        <v>76</v>
      </c>
      <c r="D207" s="19">
        <v>45877</v>
      </c>
      <c r="E207">
        <v>5</v>
      </c>
      <c r="F207" s="4">
        <v>52.820000000000007</v>
      </c>
      <c r="G207" s="4"/>
      <c r="H207" s="4">
        <f>'Transaction Log'!$F207*'Transaction Log'!$E207</f>
        <v>264.10000000000002</v>
      </c>
    </row>
    <row r="208" spans="2:8" x14ac:dyDescent="0.45">
      <c r="B208" t="e" vm="2">
        <v>#VALUE!</v>
      </c>
      <c r="C208" t="s">
        <v>76</v>
      </c>
      <c r="D208" s="19">
        <v>45877</v>
      </c>
      <c r="E208">
        <v>1</v>
      </c>
      <c r="F208" s="4">
        <v>154.12</v>
      </c>
      <c r="G208" s="4"/>
      <c r="H208" s="4">
        <f>'Transaction Log'!$F208*'Transaction Log'!$E208</f>
        <v>154.12</v>
      </c>
    </row>
    <row r="209" spans="2:8" x14ac:dyDescent="0.45">
      <c r="B209" t="e" vm="6">
        <v>#VALUE!</v>
      </c>
      <c r="C209" t="s">
        <v>77</v>
      </c>
      <c r="D209" s="19">
        <v>45890</v>
      </c>
      <c r="F209" s="4"/>
      <c r="G209" s="4">
        <v>0.52</v>
      </c>
      <c r="H209" s="4">
        <f>'Transaction Log'!$F209*'Transaction Log'!$E209</f>
        <v>0</v>
      </c>
    </row>
    <row r="210" spans="2:8" x14ac:dyDescent="0.45">
      <c r="B210" t="e" vm="6">
        <v>#VALUE!</v>
      </c>
      <c r="C210" t="s">
        <v>76</v>
      </c>
      <c r="D210" s="19">
        <v>45891</v>
      </c>
      <c r="E210">
        <v>1.35E-2</v>
      </c>
      <c r="F210" s="4">
        <v>32.592592592592595</v>
      </c>
      <c r="G210" s="4"/>
      <c r="H210" s="4">
        <f>'Transaction Log'!$F210*'Transaction Log'!$E210</f>
        <v>0.44000000000000006</v>
      </c>
    </row>
    <row r="211" spans="2:8" x14ac:dyDescent="0.45">
      <c r="B211" t="e" vm="8">
        <v>#VALUE!</v>
      </c>
      <c r="C211" t="s">
        <v>77</v>
      </c>
      <c r="D211" s="19">
        <v>45891</v>
      </c>
      <c r="F211" s="4"/>
      <c r="G211" s="4">
        <v>3.11</v>
      </c>
      <c r="H211" s="4">
        <f>'Transaction Log'!$F211*'Transaction Log'!$E211</f>
        <v>0</v>
      </c>
    </row>
    <row r="212" spans="2:8" x14ac:dyDescent="0.45">
      <c r="B212" t="e" vm="9">
        <v>#VALUE!</v>
      </c>
      <c r="C212" t="s">
        <v>76</v>
      </c>
      <c r="D212" s="19">
        <v>45894</v>
      </c>
      <c r="E212">
        <v>1</v>
      </c>
      <c r="F212" s="4">
        <v>66.78</v>
      </c>
      <c r="G212" s="4"/>
      <c r="H212" s="4">
        <f>'Transaction Log'!$F212*'Transaction Log'!$E212</f>
        <v>66.78</v>
      </c>
    </row>
    <row r="213" spans="2:8" x14ac:dyDescent="0.45">
      <c r="B213" t="e" vm="7">
        <v>#VALUE!</v>
      </c>
      <c r="C213" t="s">
        <v>76</v>
      </c>
      <c r="D213" s="19">
        <v>45894</v>
      </c>
      <c r="E213">
        <v>3</v>
      </c>
      <c r="F213" s="4">
        <v>26.11</v>
      </c>
      <c r="G213" s="4"/>
      <c r="H213" s="4">
        <f>'Transaction Log'!$F213*'Transaction Log'!$E213</f>
        <v>78.33</v>
      </c>
    </row>
    <row r="214" spans="2:8" x14ac:dyDescent="0.45">
      <c r="B214" t="e" vm="2">
        <v>#VALUE!</v>
      </c>
      <c r="C214" t="s">
        <v>76</v>
      </c>
      <c r="D214" s="19">
        <v>45894</v>
      </c>
      <c r="E214">
        <v>3</v>
      </c>
      <c r="F214" s="4">
        <v>158.04</v>
      </c>
      <c r="G214" s="4"/>
      <c r="H214" s="4">
        <f>'Transaction Log'!$F214*'Transaction Log'!$E214</f>
        <v>474.12</v>
      </c>
    </row>
    <row r="215" spans="2:8" x14ac:dyDescent="0.45">
      <c r="B215" t="e" vm="14">
        <v>#VALUE!</v>
      </c>
      <c r="C215" t="s">
        <v>76</v>
      </c>
      <c r="D215" s="19">
        <v>45894</v>
      </c>
      <c r="E215">
        <v>10</v>
      </c>
      <c r="F215" s="4">
        <v>19.369999999999997</v>
      </c>
      <c r="G215" s="4"/>
      <c r="H215" s="4">
        <f>'Transaction Log'!$F215*'Transaction Log'!$E215</f>
        <v>193.7</v>
      </c>
    </row>
    <row r="216" spans="2:8" x14ac:dyDescent="0.45">
      <c r="B216" t="e" vm="5">
        <v>#VALUE!</v>
      </c>
      <c r="C216" t="s">
        <v>76</v>
      </c>
      <c r="D216" s="19">
        <v>45894</v>
      </c>
      <c r="E216">
        <v>2</v>
      </c>
      <c r="F216" s="4">
        <v>54.51</v>
      </c>
      <c r="G216" s="4"/>
      <c r="H216" s="4">
        <f>'Transaction Log'!$F216*'Transaction Log'!$E216</f>
        <v>109.02</v>
      </c>
    </row>
    <row r="217" spans="2:8" x14ac:dyDescent="0.45">
      <c r="B217" t="e" vm="10">
        <v>#VALUE!</v>
      </c>
      <c r="C217" t="s">
        <v>76</v>
      </c>
      <c r="D217" s="19">
        <v>45894</v>
      </c>
      <c r="E217">
        <v>2</v>
      </c>
      <c r="F217" s="4">
        <v>60.38</v>
      </c>
      <c r="G217" s="4"/>
      <c r="H217" s="4">
        <f>'Transaction Log'!$F217*'Transaction Log'!$E217</f>
        <v>120.76</v>
      </c>
    </row>
    <row r="218" spans="2:8" x14ac:dyDescent="0.45">
      <c r="B218" t="e" vm="8">
        <v>#VALUE!</v>
      </c>
      <c r="C218" t="s">
        <v>76</v>
      </c>
      <c r="D218" s="19">
        <v>45894</v>
      </c>
      <c r="E218">
        <v>1.6199999999999999E-2</v>
      </c>
      <c r="F218" s="4">
        <v>191.35802469135805</v>
      </c>
      <c r="G218" s="4"/>
      <c r="H218" s="4">
        <f>'Transaction Log'!$F218*'Transaction Log'!$E218</f>
        <v>3.1</v>
      </c>
    </row>
    <row r="219" spans="2:8" x14ac:dyDescent="0.45">
      <c r="B219" t="e" vm="7">
        <v>#VALUE!</v>
      </c>
      <c r="C219" t="s">
        <v>76</v>
      </c>
      <c r="D219" s="19">
        <v>45904</v>
      </c>
      <c r="E219">
        <v>3</v>
      </c>
      <c r="F219" s="4">
        <v>26.319999999999997</v>
      </c>
      <c r="G219" s="4"/>
      <c r="H219" s="4">
        <f>'Transaction Log'!$F219*'Transaction Log'!$E219</f>
        <v>78.959999999999994</v>
      </c>
    </row>
    <row r="220" spans="2:8" x14ac:dyDescent="0.45">
      <c r="B220" t="e" vm="13">
        <v>#VALUE!</v>
      </c>
      <c r="C220" t="s">
        <v>77</v>
      </c>
      <c r="D220" s="19">
        <v>45904</v>
      </c>
      <c r="F220" s="4"/>
      <c r="G220" s="4">
        <v>8.77</v>
      </c>
      <c r="H220" s="4">
        <f>'Transaction Log'!$F220*'Transaction Log'!$E220</f>
        <v>0</v>
      </c>
    </row>
    <row r="221" spans="2:8" x14ac:dyDescent="0.45">
      <c r="B221" t="e" vm="13">
        <v>#VALUE!</v>
      </c>
      <c r="C221" t="s">
        <v>76</v>
      </c>
      <c r="D221" s="19">
        <v>45908</v>
      </c>
      <c r="E221">
        <v>0.17580000000000001</v>
      </c>
      <c r="F221" s="4">
        <v>49.886234357224112</v>
      </c>
      <c r="G221" s="4"/>
      <c r="H221" s="4">
        <f>'Transaction Log'!$F221*'Transaction Log'!$E221</f>
        <v>8.77</v>
      </c>
    </row>
    <row r="222" spans="2:8" x14ac:dyDescent="0.45">
      <c r="B222" t="e" vm="5">
        <v>#VALUE!</v>
      </c>
      <c r="C222" t="s">
        <v>77</v>
      </c>
      <c r="D222" s="19">
        <v>45909</v>
      </c>
      <c r="F222" s="4"/>
      <c r="G222" s="4">
        <v>1.64</v>
      </c>
      <c r="H222" s="4">
        <f>'Transaction Log'!$F222*'Transaction Log'!$E222</f>
        <v>0</v>
      </c>
    </row>
    <row r="223" spans="2:8" x14ac:dyDescent="0.45">
      <c r="B223" t="e" vm="5">
        <v>#VALUE!</v>
      </c>
      <c r="C223" t="s">
        <v>76</v>
      </c>
      <c r="D223" s="19">
        <v>45910</v>
      </c>
      <c r="E223">
        <v>2.92E-2</v>
      </c>
      <c r="F223" s="4">
        <v>56.164383561643831</v>
      </c>
      <c r="G223" s="4"/>
      <c r="H223" s="4">
        <f>'Transaction Log'!$F223*'Transaction Log'!$E223</f>
        <v>1.64</v>
      </c>
    </row>
    <row r="224" spans="2:8" x14ac:dyDescent="0.45">
      <c r="B224" t="e" vm="1">
        <v>#VALUE!</v>
      </c>
      <c r="C224" t="s">
        <v>77</v>
      </c>
      <c r="D224" s="19">
        <v>45929</v>
      </c>
      <c r="F224" s="4"/>
      <c r="G224" s="4">
        <v>12.05</v>
      </c>
      <c r="H224" s="4">
        <f>'Transaction Log'!$F224*'Transaction Log'!$E224</f>
        <v>0</v>
      </c>
    </row>
    <row r="225" spans="2:8" x14ac:dyDescent="0.45">
      <c r="B225" t="e" vm="1">
        <v>#VALUE!</v>
      </c>
      <c r="C225" t="s">
        <v>76</v>
      </c>
      <c r="D225" s="19">
        <v>45931</v>
      </c>
      <c r="E225">
        <v>0.31009999999999999</v>
      </c>
      <c r="F225" s="4">
        <v>38.858432763624641</v>
      </c>
      <c r="G225" s="4"/>
      <c r="H225" s="4">
        <f>'Transaction Log'!$F225*'Transaction Log'!$E225</f>
        <v>12.05</v>
      </c>
    </row>
    <row r="226" spans="2:8" x14ac:dyDescent="0.45">
      <c r="B226" t="e" vm="13">
        <v>#VALUE!</v>
      </c>
      <c r="C226" t="s">
        <v>77</v>
      </c>
      <c r="D226" s="19">
        <v>45932</v>
      </c>
      <c r="F226" s="4"/>
      <c r="G226" s="4">
        <v>8.7899999999999991</v>
      </c>
      <c r="H226" s="4">
        <f>'Transaction Log'!$F226*'Transaction Log'!$E226</f>
        <v>0</v>
      </c>
    </row>
    <row r="227" spans="2:8" x14ac:dyDescent="0.45">
      <c r="B227" t="e" vm="13">
        <v>#VALUE!</v>
      </c>
      <c r="C227" t="s">
        <v>76</v>
      </c>
      <c r="D227" s="19">
        <v>45936</v>
      </c>
      <c r="E227">
        <v>0.1762</v>
      </c>
      <c r="F227" s="4">
        <v>49.886492622020427</v>
      </c>
      <c r="G227" s="4"/>
      <c r="H227" s="4">
        <f>'Transaction Log'!$F227*'Transaction Log'!$E227</f>
        <v>8.7899999999999991</v>
      </c>
    </row>
    <row r="228" spans="2:8" x14ac:dyDescent="0.45">
      <c r="B228" t="e" vm="3">
        <v>#VALUE!</v>
      </c>
      <c r="C228" t="s">
        <v>77</v>
      </c>
      <c r="D228" s="19">
        <v>45936</v>
      </c>
      <c r="F228" s="4"/>
      <c r="G228" s="4">
        <v>0.2</v>
      </c>
      <c r="H228" s="4">
        <f>'Transaction Log'!$F228*'Transaction Log'!$E228</f>
        <v>0</v>
      </c>
    </row>
    <row r="229" spans="2:8" x14ac:dyDescent="0.45">
      <c r="B229" t="e" vm="3">
        <v>#VALUE!</v>
      </c>
      <c r="C229" t="s">
        <v>76</v>
      </c>
      <c r="D229" s="19">
        <v>45937</v>
      </c>
      <c r="E229">
        <v>3.7000000000000002E-3</v>
      </c>
      <c r="F229" s="4">
        <v>54.054054054054056</v>
      </c>
      <c r="G229" s="4"/>
      <c r="H229" s="4">
        <f>'Transaction Log'!$F229*'Transaction Log'!$E229</f>
        <v>0.2</v>
      </c>
    </row>
    <row r="230" spans="2:8" x14ac:dyDescent="0.45">
      <c r="B230" t="e" vm="2">
        <v>#VALUE!</v>
      </c>
      <c r="C230" t="s">
        <v>77</v>
      </c>
      <c r="D230" s="19">
        <v>45937</v>
      </c>
      <c r="F230" s="4"/>
      <c r="G230" s="4">
        <v>18.79</v>
      </c>
      <c r="H230" s="4">
        <f>'Transaction Log'!$F230*'Transaction Log'!$E230</f>
        <v>0</v>
      </c>
    </row>
    <row r="231" spans="2:8" x14ac:dyDescent="0.45">
      <c r="B231" t="e" vm="5">
        <v>#VALUE!</v>
      </c>
      <c r="C231" t="s">
        <v>77</v>
      </c>
      <c r="D231" s="19">
        <v>45938</v>
      </c>
      <c r="F231" s="4"/>
      <c r="G231" s="4">
        <v>1.01</v>
      </c>
      <c r="H231" s="4">
        <f>'Transaction Log'!$F231*'Transaction Log'!$E231</f>
        <v>0</v>
      </c>
    </row>
    <row r="232" spans="2:8" x14ac:dyDescent="0.45">
      <c r="B232" t="e" vm="2">
        <v>#VALUE!</v>
      </c>
      <c r="C232" t="s">
        <v>76</v>
      </c>
      <c r="D232" s="19">
        <v>45939</v>
      </c>
      <c r="E232">
        <v>0.1124</v>
      </c>
      <c r="F232" s="4">
        <v>167.17081850533808</v>
      </c>
      <c r="G232" s="4"/>
      <c r="H232" s="4">
        <f>'Transaction Log'!$F232*'Transaction Log'!$E232</f>
        <v>18.79</v>
      </c>
    </row>
    <row r="233" spans="2:8" x14ac:dyDescent="0.45">
      <c r="B233" t="e" vm="5">
        <v>#VALUE!</v>
      </c>
      <c r="C233" t="s">
        <v>76</v>
      </c>
      <c r="D233" s="19">
        <v>45939</v>
      </c>
      <c r="E233">
        <v>1.7399999999999999E-2</v>
      </c>
      <c r="F233" s="4">
        <v>58.045977011494259</v>
      </c>
      <c r="G233" s="4"/>
      <c r="H233" s="4">
        <f>'Transaction Log'!$F233*'Transaction Log'!$E233</f>
        <v>1.01</v>
      </c>
    </row>
    <row r="234" spans="2:8" x14ac:dyDescent="0.45">
      <c r="B234" t="e" vm="4">
        <v>#VALUE!</v>
      </c>
      <c r="C234" t="s">
        <v>77</v>
      </c>
      <c r="D234" s="19">
        <v>45939</v>
      </c>
      <c r="F234" s="4"/>
      <c r="G234" s="4">
        <v>0.02</v>
      </c>
      <c r="H234" s="4">
        <f>'Transaction Log'!$F234*'Transaction Log'!$E234</f>
        <v>0</v>
      </c>
    </row>
    <row r="235" spans="2:8" x14ac:dyDescent="0.45">
      <c r="B235" t="e" vm="6">
        <v>#VALUE!</v>
      </c>
      <c r="C235" t="s">
        <v>76</v>
      </c>
      <c r="D235" s="19">
        <v>45940</v>
      </c>
      <c r="E235">
        <v>1</v>
      </c>
      <c r="F235" s="4">
        <v>36.54</v>
      </c>
      <c r="G235" s="4"/>
      <c r="H235" s="4">
        <f>'Transaction Log'!$F235*'Transaction Log'!$E235</f>
        <v>36.54</v>
      </c>
    </row>
    <row r="236" spans="2:8" x14ac:dyDescent="0.45">
      <c r="B236" t="e" vm="15">
        <v>#VALUE!</v>
      </c>
      <c r="C236" t="s">
        <v>76</v>
      </c>
      <c r="D236" s="19">
        <v>45940</v>
      </c>
      <c r="E236">
        <v>1</v>
      </c>
      <c r="F236" s="4">
        <v>122.23</v>
      </c>
      <c r="G236" s="4"/>
      <c r="H236" s="4">
        <f>'Transaction Log'!$F236*'Transaction Log'!$E236</f>
        <v>122.23</v>
      </c>
    </row>
    <row r="237" spans="2:8" x14ac:dyDescent="0.45">
      <c r="B237" t="e" vm="16">
        <v>#VALUE!</v>
      </c>
      <c r="C237" t="s">
        <v>76</v>
      </c>
      <c r="D237" s="19">
        <v>45940</v>
      </c>
      <c r="E237">
        <v>2</v>
      </c>
      <c r="F237" s="4">
        <v>61.82</v>
      </c>
      <c r="G237" s="4"/>
      <c r="H237" s="4">
        <f>'Transaction Log'!$F237*'Transaction Log'!$E237</f>
        <v>123.64</v>
      </c>
    </row>
    <row r="238" spans="2:8" x14ac:dyDescent="0.45">
      <c r="B238" t="e" vm="4">
        <v>#VALUE!</v>
      </c>
      <c r="C238" t="s">
        <v>76</v>
      </c>
      <c r="D238" s="19">
        <v>45944</v>
      </c>
      <c r="E238">
        <v>4.0000000000000002E-4</v>
      </c>
      <c r="F238" s="4">
        <v>50</v>
      </c>
      <c r="G238" s="4"/>
      <c r="H238" s="4">
        <f>'Transaction Log'!$F238*'Transaction Log'!$E238</f>
        <v>0.02</v>
      </c>
    </row>
    <row r="239" spans="2:8" x14ac:dyDescent="0.45">
      <c r="B239" t="e" vm="11">
        <v>#VALUE!</v>
      </c>
      <c r="C239" t="s">
        <v>76</v>
      </c>
      <c r="D239" s="19">
        <v>45945</v>
      </c>
      <c r="E239">
        <v>4</v>
      </c>
      <c r="F239" s="4">
        <v>23.66</v>
      </c>
      <c r="G239" s="4"/>
      <c r="H239" s="4">
        <f>'Transaction Log'!$F239*'Transaction Log'!$E239</f>
        <v>94.64</v>
      </c>
    </row>
    <row r="240" spans="2:8" x14ac:dyDescent="0.45">
      <c r="B240" t="e" vm="4">
        <v>#VALUE!</v>
      </c>
      <c r="C240" t="s">
        <v>76</v>
      </c>
      <c r="D240" s="19">
        <v>45945</v>
      </c>
      <c r="E240">
        <v>2</v>
      </c>
      <c r="F240" s="4">
        <v>42.3</v>
      </c>
      <c r="G240" s="4"/>
      <c r="H240" s="4">
        <f>'Transaction Log'!$F240*'Transaction Log'!$E240</f>
        <v>84.6</v>
      </c>
    </row>
    <row r="241" spans="2:8" x14ac:dyDescent="0.45">
      <c r="B241" t="e" vm="7">
        <v>#VALUE!</v>
      </c>
      <c r="C241" t="s">
        <v>76</v>
      </c>
      <c r="D241" s="19">
        <v>45945</v>
      </c>
      <c r="E241">
        <v>5</v>
      </c>
      <c r="F241" s="4">
        <v>25.18</v>
      </c>
      <c r="G241" s="4"/>
      <c r="H241" s="4">
        <f>'Transaction Log'!$F241*'Transaction Log'!$E241</f>
        <v>125.9</v>
      </c>
    </row>
    <row r="242" spans="2:8" x14ac:dyDescent="0.45">
      <c r="B242" t="e" vm="1">
        <v>#VALUE!</v>
      </c>
      <c r="C242" t="s">
        <v>76</v>
      </c>
      <c r="D242" s="19">
        <v>45945</v>
      </c>
      <c r="E242">
        <v>3</v>
      </c>
      <c r="F242" s="4">
        <v>38.9</v>
      </c>
      <c r="G242" s="4"/>
      <c r="H242" s="4">
        <f>'Transaction Log'!$F242*'Transaction Log'!$E242</f>
        <v>116.69999999999999</v>
      </c>
    </row>
    <row r="243" spans="2:8" x14ac:dyDescent="0.45">
      <c r="B243" t="e" vm="2">
        <v>#VALUE!</v>
      </c>
      <c r="C243" t="s">
        <v>76</v>
      </c>
      <c r="D243" s="19">
        <v>45945</v>
      </c>
      <c r="E243">
        <v>1</v>
      </c>
      <c r="F243" s="4">
        <v>164.08</v>
      </c>
      <c r="G243" s="4"/>
      <c r="H243" s="4">
        <f>'Transaction Log'!$F243*'Transaction Log'!$E243</f>
        <v>164.08</v>
      </c>
    </row>
    <row r="244" spans="2:8" x14ac:dyDescent="0.45">
      <c r="B244" t="e" vm="16">
        <v>#VALUE!</v>
      </c>
      <c r="C244" t="s">
        <v>76</v>
      </c>
      <c r="D244" s="19">
        <v>45953</v>
      </c>
      <c r="E244">
        <v>1</v>
      </c>
      <c r="F244" s="4">
        <v>60.85</v>
      </c>
      <c r="G244" s="4"/>
      <c r="H244" s="4">
        <f>'Transaction Log'!$F244*'Transaction Log'!$E244</f>
        <v>60.85</v>
      </c>
    </row>
    <row r="245" spans="2:8" x14ac:dyDescent="0.45">
      <c r="B245" t="e" vm="13">
        <v>#VALUE!</v>
      </c>
      <c r="C245" t="s">
        <v>78</v>
      </c>
      <c r="D245" s="19">
        <v>45960</v>
      </c>
      <c r="E245">
        <v>10</v>
      </c>
      <c r="F245" s="4">
        <v>49.94</v>
      </c>
      <c r="G245" s="4"/>
      <c r="H245" s="4">
        <f>'Transaction Log'!$F245*'Transaction Log'!$E245</f>
        <v>499.4</v>
      </c>
    </row>
    <row r="246" spans="2:8" x14ac:dyDescent="0.45">
      <c r="B246" t="e" vm="10">
        <v>#VALUE!</v>
      </c>
      <c r="C246" t="s">
        <v>77</v>
      </c>
      <c r="D246" s="19">
        <v>45961</v>
      </c>
      <c r="F246" s="4"/>
      <c r="G246" s="4">
        <v>1.38</v>
      </c>
      <c r="H246" s="4">
        <f>'Transaction Log'!$F246*'Transaction Log'!$E246</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2C8A7-7738-4EB0-9A65-4D87227F2A14}">
  <dimension ref="B1:J30"/>
  <sheetViews>
    <sheetView showGridLines="0" zoomScale="85" workbookViewId="0">
      <selection activeCell="J31" sqref="J31"/>
    </sheetView>
  </sheetViews>
  <sheetFormatPr defaultColWidth="9.1328125" defaultRowHeight="14.25" x14ac:dyDescent="0.45"/>
  <cols>
    <col min="1" max="1" width="1" style="1" customWidth="1"/>
    <col min="2" max="2" width="42.73046875" style="1" bestFit="1" customWidth="1"/>
    <col min="3" max="3" width="11" style="1" bestFit="1" customWidth="1"/>
    <col min="4" max="4" width="14.265625" style="1" bestFit="1" customWidth="1"/>
    <col min="5" max="5" width="10.59765625" style="1" bestFit="1" customWidth="1"/>
    <col min="6" max="6" width="14.265625" style="1" bestFit="1" customWidth="1"/>
    <col min="7" max="7" width="11" style="1" customWidth="1"/>
    <col min="8" max="8" width="14.1328125" style="1" customWidth="1"/>
    <col min="9" max="9" width="9.1328125" style="1"/>
    <col min="10" max="10" width="13.1328125" style="1" customWidth="1"/>
    <col min="11" max="16384" width="9.1328125" style="1"/>
  </cols>
  <sheetData>
    <row r="1" spans="2:10" ht="6" customHeight="1" x14ac:dyDescent="0.45"/>
    <row r="2" spans="2:10" ht="15" customHeight="1" x14ac:dyDescent="0.45">
      <c r="B2" s="2"/>
      <c r="C2" s="81" t="s">
        <v>79</v>
      </c>
      <c r="D2" s="82"/>
      <c r="E2" s="81" t="s">
        <v>80</v>
      </c>
      <c r="F2" s="82"/>
      <c r="G2" s="83" t="s">
        <v>81</v>
      </c>
      <c r="H2" s="85" t="s">
        <v>82</v>
      </c>
      <c r="J2" s="3"/>
    </row>
    <row r="3" spans="2:10" x14ac:dyDescent="0.45">
      <c r="B3" s="46" t="s">
        <v>83</v>
      </c>
      <c r="C3" s="46" t="s">
        <v>84</v>
      </c>
      <c r="D3" s="47" t="s">
        <v>40</v>
      </c>
      <c r="E3" s="46" t="s">
        <v>85</v>
      </c>
      <c r="F3" s="48" t="s">
        <v>40</v>
      </c>
      <c r="G3" s="84"/>
      <c r="H3" s="86"/>
      <c r="J3" s="11"/>
    </row>
    <row r="4" spans="2:10" x14ac:dyDescent="0.45">
      <c r="B4" s="50" t="e" cm="1" vm="1">
        <f t="array" ref="B4:B29">_xlfn.UNIQUE('Transaction Log'!$B$3:$B$246)</f>
        <v>#VALUE!</v>
      </c>
      <c r="C4" s="15">
        <f>SUMIFS('Transaction Log'!$E$3:$E$246,'Transaction Log'!$B$3:$B$246,'Realized Gains &amp; Losses'!B4,'Transaction Log'!$C$3:$C$246,"BUY")</f>
        <v>291.82719999999995</v>
      </c>
      <c r="D4" s="42" cm="1">
        <f t="array" ref="D4">IFERROR(SUMPRODUCT(('Transaction Log'!$B$3:$B$246=B4)*('Transaction Log'!$C$3:$C$246="BUY")*'Transaction Log'!$H$3:$H$246)/C4,"")</f>
        <v>33.216129271020677</v>
      </c>
      <c r="E4" s="15">
        <f>SUMIFS('Transaction Log'!$E$3:$E$246,'Transaction Log'!$B$3:$B$246,'Realized Gains &amp; Losses'!B4,'Transaction Log'!$C$3:$C$246,"SELL")</f>
        <v>168</v>
      </c>
      <c r="F4" s="40" cm="1">
        <f t="array" ref="F4">IFERROR(SUMPRODUCT(('Transaction Log'!$B$3:$B$246=B4)*('Transaction Log'!$C$3:$C$246="SELL")*'Transaction Log'!$H$3:$H$246)/E4,)</f>
        <v>34.811904761904756</v>
      </c>
      <c r="G4" s="40">
        <f>SUMIFS('Transaction Log'!$G$3:$G$246,'Transaction Log'!$B$3:$B$246,B4,'Transaction Log'!$C$3:$C$246,"DIV")</f>
        <v>108.08999999999999</v>
      </c>
      <c r="H4" s="40">
        <f>(E4*(F4-D4))+G4</f>
        <v>376.18028246852538</v>
      </c>
    </row>
    <row r="5" spans="2:10" x14ac:dyDescent="0.45">
      <c r="B5" s="49" t="e" vm="2">
        <v>#VALUE!</v>
      </c>
      <c r="C5" s="16">
        <f>SUMIFS('Transaction Log'!$E$3:$E$246,'Transaction Log'!$B$3:$B$246,'Realized Gains &amp; Losses'!B5,'Transaction Log'!$C$3:$C$246,"BUY")</f>
        <v>104.2578</v>
      </c>
      <c r="D5" s="43" cm="1">
        <f t="array" ref="D5">IFERROR(SUMPRODUCT(('Transaction Log'!$B$3:$B$246=B5)*('Transaction Log'!$C$3:$C$246="BUY")*'Transaction Log'!$H$3:$H$246)/C5,"")</f>
        <v>147.719403248486</v>
      </c>
      <c r="E5" s="16">
        <f>SUMIFS('Transaction Log'!$E$3:$E$246,'Transaction Log'!$B$3:$B$246,'Realized Gains &amp; Losses'!B5,'Transaction Log'!$C$3:$C$246,"SELL")</f>
        <v>52</v>
      </c>
      <c r="F5" s="41" cm="1">
        <f t="array" ref="F5">IFERROR(SUMPRODUCT(('Transaction Log'!$B$3:$B$246=B5)*('Transaction Log'!$C$3:$C$246="SELL")*'Transaction Log'!$H$3:$H$246)/E5,)</f>
        <v>152.04</v>
      </c>
      <c r="G5" s="41">
        <f>SUMIFS('Transaction Log'!$G$3:$G$246,'Transaction Log'!$B$3:$B$246,B5,'Transaction Log'!$C$3:$C$246,"DIV")</f>
        <v>69.09</v>
      </c>
      <c r="H5" s="41">
        <f t="shared" ref="H5:H29" si="0">(E5*(F5-D5))+G5</f>
        <v>293.76103107872746</v>
      </c>
    </row>
    <row r="6" spans="2:10" x14ac:dyDescent="0.45">
      <c r="B6" s="49" t="e" vm="3">
        <v>#VALUE!</v>
      </c>
      <c r="C6" s="16">
        <f>SUMIFS('Transaction Log'!$E$3:$E$246,'Transaction Log'!$B$3:$B$246,'Realized Gains &amp; Losses'!B6,'Transaction Log'!$C$3:$C$246,"BUY")</f>
        <v>35.087399999999995</v>
      </c>
      <c r="D6" s="43" cm="1">
        <f t="array" ref="D6">IFERROR(SUMPRODUCT(('Transaction Log'!$B$3:$B$246=B6)*('Transaction Log'!$C$3:$C$246="BUY")*'Transaction Log'!$H$3:$H$246)/C6,"")</f>
        <v>44.679001578914374</v>
      </c>
      <c r="E6" s="16">
        <f>SUMIFS('Transaction Log'!$E$3:$E$246,'Transaction Log'!$B$3:$B$246,'Realized Gains &amp; Losses'!B6,'Transaction Log'!$C$3:$C$246,"SELL")</f>
        <v>15.079499999999999</v>
      </c>
      <c r="F6" s="41" cm="1">
        <f t="array" ref="F6">IFERROR(SUMPRODUCT(('Transaction Log'!$B$3:$B$246=B6)*('Transaction Log'!$C$3:$C$246="SELL")*'Transaction Log'!$H$3:$H$246)/E6,)</f>
        <v>43.803176497894491</v>
      </c>
      <c r="G6" s="41">
        <f>SUMIFS('Transaction Log'!$G$3:$G$246,'Transaction Log'!$B$3:$B$246,B6,'Transaction Log'!$C$3:$C$246,"DIV")</f>
        <v>0.87000000000000011</v>
      </c>
      <c r="H6" s="41">
        <f t="shared" si="0"/>
        <v>-12.337004309239326</v>
      </c>
    </row>
    <row r="7" spans="2:10" x14ac:dyDescent="0.45">
      <c r="B7" s="49" t="e" vm="4">
        <v>#VALUE!</v>
      </c>
      <c r="C7" s="16">
        <f>SUMIFS('Transaction Log'!$E$3:$E$246,'Transaction Log'!$B$3:$B$246,'Realized Gains &amp; Losses'!B7,'Transaction Log'!$C$3:$C$246,"BUY")</f>
        <v>35.0017</v>
      </c>
      <c r="D7" s="43" cm="1">
        <f t="array" ref="D7">IFERROR(SUMPRODUCT(('Transaction Log'!$B$3:$B$246=B7)*('Transaction Log'!$C$3:$C$246="BUY")*'Transaction Log'!$H$3:$H$246)/C7,"")</f>
        <v>33.413234214338154</v>
      </c>
      <c r="E7" s="16">
        <f>SUMIFS('Transaction Log'!$E$3:$E$246,'Transaction Log'!$B$3:$B$246,'Realized Gains &amp; Losses'!B7,'Transaction Log'!$C$3:$C$246,"SELL")</f>
        <v>26</v>
      </c>
      <c r="F7" s="41" cm="1">
        <f t="array" ref="F7">IFERROR(SUMPRODUCT(('Transaction Log'!$B$3:$B$246=B7)*('Transaction Log'!$C$3:$C$246="SELL")*'Transaction Log'!$H$3:$H$246)/E7,)</f>
        <v>30.188461538461539</v>
      </c>
      <c r="G7" s="41">
        <f>SUMIFS('Transaction Log'!$G$3:$G$246,'Transaction Log'!$B$3:$B$246,B7,'Transaction Log'!$C$3:$C$246,"DIV")</f>
        <v>0.1</v>
      </c>
      <c r="H7" s="41">
        <f t="shared" si="0"/>
        <v>-83.744089572791992</v>
      </c>
    </row>
    <row r="8" spans="2:10" x14ac:dyDescent="0.45">
      <c r="B8" s="49" t="e" vm="17">
        <v>#VALUE!</v>
      </c>
      <c r="C8" s="16">
        <f>SUMIFS('Transaction Log'!$E$3:$E$246,'Transaction Log'!$B$3:$B$246,'Realized Gains &amp; Losses'!B8,'Transaction Log'!$C$3:$C$246,"BUY")</f>
        <v>7</v>
      </c>
      <c r="D8" s="43" cm="1">
        <f t="array" ref="D8">IFERROR(SUMPRODUCT(('Transaction Log'!$B$3:$B$246=B8)*('Transaction Log'!$C$3:$C$246="BUY")*'Transaction Log'!$H$3:$H$246)/C8,"")</f>
        <v>26.687142857142856</v>
      </c>
      <c r="E8" s="16">
        <f>SUMIFS('Transaction Log'!$E$3:$E$246,'Transaction Log'!$B$3:$B$246,'Realized Gains &amp; Losses'!B8,'Transaction Log'!$C$3:$C$246,"SELL")</f>
        <v>7</v>
      </c>
      <c r="F8" s="41" cm="1">
        <f t="array" ref="F8">IFERROR(SUMPRODUCT(('Transaction Log'!$B$3:$B$246=B8)*('Transaction Log'!$C$3:$C$246="SELL")*'Transaction Log'!$H$3:$H$246)/E8,)</f>
        <v>27.274285714285714</v>
      </c>
      <c r="G8" s="41">
        <f>SUMIFS('Transaction Log'!$G$3:$G$246,'Transaction Log'!$B$3:$B$246,B8,'Transaction Log'!$C$3:$C$246,"DIV")</f>
        <v>1.01</v>
      </c>
      <c r="H8" s="41">
        <f t="shared" si="0"/>
        <v>5.1200000000000063</v>
      </c>
    </row>
    <row r="9" spans="2:10" x14ac:dyDescent="0.45">
      <c r="B9" s="49" t="e" vm="5">
        <v>#VALUE!</v>
      </c>
      <c r="C9" s="16">
        <f>SUMIFS('Transaction Log'!$E$3:$E$246,'Transaction Log'!$B$3:$B$246,'Realized Gains &amp; Losses'!B9,'Transaction Log'!$C$3:$C$246,"BUY")</f>
        <v>65.559399999999997</v>
      </c>
      <c r="D9" s="43" cm="1">
        <f t="array" ref="D9">IFERROR(SUMPRODUCT(('Transaction Log'!$B$3:$B$246=B9)*('Transaction Log'!$C$3:$C$246="BUY")*'Transaction Log'!$H$3:$H$246)/C9,"")</f>
        <v>48.545746300301722</v>
      </c>
      <c r="E9" s="16">
        <f>SUMIFS('Transaction Log'!$E$3:$E$246,'Transaction Log'!$B$3:$B$246,'Realized Gains &amp; Losses'!B9,'Transaction Log'!$C$3:$C$246,"SELL")</f>
        <v>58.512799999999999</v>
      </c>
      <c r="F9" s="41" cm="1">
        <f t="array" ref="F9">IFERROR(SUMPRODUCT(('Transaction Log'!$B$3:$B$246=B9)*('Transaction Log'!$C$3:$C$246="SELL")*'Transaction Log'!$H$3:$H$246)/E9,)</f>
        <v>50.193291040592833</v>
      </c>
      <c r="G9" s="41">
        <f>SUMIFS('Transaction Log'!$G$3:$G$246,'Transaction Log'!$B$3:$B$246,B9,'Transaction Log'!$C$3:$C$246,"DIV")</f>
        <v>27.140000000000004</v>
      </c>
      <c r="H9" s="41">
        <f t="shared" si="0"/>
        <v>123.54245587970567</v>
      </c>
    </row>
    <row r="10" spans="2:10" x14ac:dyDescent="0.45">
      <c r="B10" s="49" t="e" vm="18">
        <v>#VALUE!</v>
      </c>
      <c r="C10" s="16">
        <f>SUMIFS('Transaction Log'!$E$3:$E$246,'Transaction Log'!$B$3:$B$246,'Realized Gains &amp; Losses'!B10,'Transaction Log'!$C$3:$C$246,"BUY")</f>
        <v>28.0336</v>
      </c>
      <c r="D10" s="43" cm="1">
        <f t="array" ref="D10">IFERROR(SUMPRODUCT(('Transaction Log'!$B$3:$B$246=B10)*('Transaction Log'!$C$3:$C$246="BUY")*'Transaction Log'!$H$3:$H$246)/C10,"")</f>
        <v>50.041735631527878</v>
      </c>
      <c r="E10" s="16">
        <f>SUMIFS('Transaction Log'!$E$3:$E$246,'Transaction Log'!$B$3:$B$246,'Realized Gains &amp; Losses'!B10,'Transaction Log'!$C$3:$C$246,"SELL")</f>
        <v>28.0336</v>
      </c>
      <c r="F10" s="41" cm="1">
        <f t="array" ref="F10">IFERROR(SUMPRODUCT(('Transaction Log'!$B$3:$B$246=B10)*('Transaction Log'!$C$3:$C$246="SELL")*'Transaction Log'!$H$3:$H$246)/E10,)</f>
        <v>50.11985617259289</v>
      </c>
      <c r="G10" s="41">
        <f>SUMIFS('Transaction Log'!$G$3:$G$246,'Transaction Log'!$B$3:$B$246,B10,'Transaction Log'!$C$3:$C$246,"DIV")</f>
        <v>4.6500000000000004</v>
      </c>
      <c r="H10" s="41">
        <f t="shared" si="0"/>
        <v>6.8400000000001109</v>
      </c>
    </row>
    <row r="11" spans="2:10" x14ac:dyDescent="0.45">
      <c r="B11" s="49" t="e" vm="6">
        <v>#VALUE!</v>
      </c>
      <c r="C11" s="16">
        <f>SUMIFS('Transaction Log'!$E$3:$E$246,'Transaction Log'!$B$3:$B$246,'Realized Gains &amp; Losses'!B11,'Transaction Log'!$C$3:$C$246,"BUY")</f>
        <v>36.029299999999999</v>
      </c>
      <c r="D11" s="43" cm="1">
        <f t="array" ref="D11">IFERROR(SUMPRODUCT(('Transaction Log'!$B$3:$B$246=B11)*('Transaction Log'!$C$3:$C$246="BUY")*'Transaction Log'!$H$3:$H$246)/C11,"")</f>
        <v>31.798008842802943</v>
      </c>
      <c r="E11" s="16">
        <f>SUMIFS('Transaction Log'!$E$3:$E$246,'Transaction Log'!$B$3:$B$246,'Realized Gains &amp; Losses'!B11,'Transaction Log'!$C$3:$C$246,"SELL")</f>
        <v>21</v>
      </c>
      <c r="F11" s="41" cm="1">
        <f t="array" ref="F11">IFERROR(SUMPRODUCT(('Transaction Log'!$B$3:$B$246=B11)*('Transaction Log'!$C$3:$C$246="SELL")*'Transaction Log'!$H$3:$H$246)/E11,)</f>
        <v>35.417142857142856</v>
      </c>
      <c r="G11" s="41">
        <f>SUMIFS('Transaction Log'!$G$3:$G$246,'Transaction Log'!$B$3:$B$246,B11,'Transaction Log'!$C$3:$C$246,"DIV")</f>
        <v>1.48</v>
      </c>
      <c r="H11" s="41">
        <f t="shared" si="0"/>
        <v>77.481814301138186</v>
      </c>
    </row>
    <row r="12" spans="2:10" x14ac:dyDescent="0.45">
      <c r="B12" s="49" t="e" vm="19">
        <v>#VALUE!</v>
      </c>
      <c r="C12" s="16">
        <f>SUMIFS('Transaction Log'!$E$3:$E$246,'Transaction Log'!$B$3:$B$246,'Realized Gains &amp; Losses'!B12,'Transaction Log'!$C$3:$C$246,"BUY")</f>
        <v>2</v>
      </c>
      <c r="D12" s="43" cm="1">
        <f t="array" ref="D12">IFERROR(SUMPRODUCT(('Transaction Log'!$B$3:$B$246=B12)*('Transaction Log'!$C$3:$C$246="BUY")*'Transaction Log'!$H$3:$H$246)/C12,"")</f>
        <v>117.045</v>
      </c>
      <c r="E12" s="16">
        <f>SUMIFS('Transaction Log'!$E$3:$E$246,'Transaction Log'!$B$3:$B$246,'Realized Gains &amp; Losses'!B12,'Transaction Log'!$C$3:$C$246,"SELL")</f>
        <v>2</v>
      </c>
      <c r="F12" s="41" cm="1">
        <f t="array" ref="F12">IFERROR(SUMPRODUCT(('Transaction Log'!$B$3:$B$246=B12)*('Transaction Log'!$C$3:$C$246="SELL")*'Transaction Log'!$H$3:$H$246)/E12,)</f>
        <v>117.65</v>
      </c>
      <c r="G12" s="41">
        <f>SUMIFS('Transaction Log'!$G$3:$G$246,'Transaction Log'!$B$3:$B$246,B12,'Transaction Log'!$C$3:$C$246,"DIV")</f>
        <v>3.1</v>
      </c>
      <c r="H12" s="41">
        <f t="shared" si="0"/>
        <v>4.3100000000000076</v>
      </c>
    </row>
    <row r="13" spans="2:10" x14ac:dyDescent="0.45">
      <c r="B13" s="49" t="e" vm="20">
        <v>#VALUE!</v>
      </c>
      <c r="C13" s="16">
        <f>SUMIFS('Transaction Log'!$E$3:$E$246,'Transaction Log'!$B$3:$B$246,'Realized Gains &amp; Losses'!B13,'Transaction Log'!$C$3:$C$246,"BUY")</f>
        <v>1</v>
      </c>
      <c r="D13" s="43" cm="1">
        <f t="array" ref="D13">IFERROR(SUMPRODUCT(('Transaction Log'!$B$3:$B$246=B13)*('Transaction Log'!$C$3:$C$246="BUY")*'Transaction Log'!$H$3:$H$246)/C13,"")</f>
        <v>29.47</v>
      </c>
      <c r="E13" s="16">
        <f>SUMIFS('Transaction Log'!$E$3:$E$246,'Transaction Log'!$B$3:$B$246,'Realized Gains &amp; Losses'!B13,'Transaction Log'!$C$3:$C$246,"SELL")</f>
        <v>1</v>
      </c>
      <c r="F13" s="41" cm="1">
        <f t="array" ref="F13">IFERROR(SUMPRODUCT(('Transaction Log'!$B$3:$B$246=B13)*('Transaction Log'!$C$3:$C$246="SELL")*'Transaction Log'!$H$3:$H$246)/E13,)</f>
        <v>26.87</v>
      </c>
      <c r="G13" s="41">
        <f>SUMIFS('Transaction Log'!$G$3:$G$246,'Transaction Log'!$B$3:$B$246,B13,'Transaction Log'!$C$3:$C$246,"DIV")</f>
        <v>0</v>
      </c>
      <c r="H13" s="41">
        <f t="shared" si="0"/>
        <v>-2.5999999999999979</v>
      </c>
    </row>
    <row r="14" spans="2:10" x14ac:dyDescent="0.45">
      <c r="B14" s="49" t="e" vm="7">
        <v>#VALUE!</v>
      </c>
      <c r="C14" s="16">
        <f>SUMIFS('Transaction Log'!$E$3:$E$246,'Transaction Log'!$B$3:$B$246,'Realized Gains &amp; Losses'!B14,'Transaction Log'!$C$3:$C$246,"BUY")</f>
        <v>18</v>
      </c>
      <c r="D14" s="43" cm="1">
        <f t="array" ref="D14">IFERROR(SUMPRODUCT(('Transaction Log'!$B$3:$B$246=B14)*('Transaction Log'!$C$3:$C$246="BUY")*'Transaction Log'!$H$3:$H$246)/C14,"")</f>
        <v>24.319444444444443</v>
      </c>
      <c r="E14" s="16">
        <f>SUMIFS('Transaction Log'!$E$3:$E$246,'Transaction Log'!$B$3:$B$246,'Realized Gains &amp; Losses'!B14,'Transaction Log'!$C$3:$C$246,"SELL")</f>
        <v>2</v>
      </c>
      <c r="F14" s="41" cm="1">
        <f t="array" ref="F14">IFERROR(SUMPRODUCT(('Transaction Log'!$B$3:$B$246=B14)*('Transaction Log'!$C$3:$C$246="SELL")*'Transaction Log'!$H$3:$H$246)/E14,)</f>
        <v>21.15</v>
      </c>
      <c r="G14" s="41">
        <f>SUMIFS('Transaction Log'!$G$3:$G$246,'Transaction Log'!$B$3:$B$246,B14,'Transaction Log'!$C$3:$C$246,"DIV")</f>
        <v>0</v>
      </c>
      <c r="H14" s="41">
        <f t="shared" si="0"/>
        <v>-6.3388888888888886</v>
      </c>
    </row>
    <row r="15" spans="2:10" x14ac:dyDescent="0.45">
      <c r="B15" s="49" t="e" vm="8">
        <v>#VALUE!</v>
      </c>
      <c r="C15" s="16">
        <f>SUMIFS('Transaction Log'!$E$3:$E$246,'Transaction Log'!$B$3:$B$246,'Realized Gains &amp; Losses'!B15,'Transaction Log'!$C$3:$C$246,"BUY")</f>
        <v>3.0329000000000002</v>
      </c>
      <c r="D15" s="43" cm="1">
        <f t="array" ref="D15">IFERROR(SUMPRODUCT(('Transaction Log'!$B$3:$B$246=B15)*('Transaction Log'!$C$3:$C$246="BUY")*'Transaction Log'!$H$3:$H$246)/C15,"")</f>
        <v>166.61610999373536</v>
      </c>
      <c r="E15" s="16">
        <f>SUMIFS('Transaction Log'!$E$3:$E$246,'Transaction Log'!$B$3:$B$246,'Realized Gains &amp; Losses'!B15,'Transaction Log'!$C$3:$C$246,"SELL")</f>
        <v>1</v>
      </c>
      <c r="F15" s="41" cm="1">
        <f t="array" ref="F15">IFERROR(SUMPRODUCT(('Transaction Log'!$B$3:$B$246=B15)*('Transaction Log'!$C$3:$C$246="SELL")*'Transaction Log'!$H$3:$H$246)/E15,)</f>
        <v>167.66</v>
      </c>
      <c r="G15" s="41">
        <f>SUMIFS('Transaction Log'!$G$3:$G$246,'Transaction Log'!$B$3:$B$246,B15,'Transaction Log'!$C$3:$C$246,"DIV")</f>
        <v>6.07</v>
      </c>
      <c r="H15" s="41">
        <f t="shared" si="0"/>
        <v>7.1138900062646329</v>
      </c>
    </row>
    <row r="16" spans="2:10" x14ac:dyDescent="0.45">
      <c r="B16" s="49" t="e" vm="9">
        <v>#VALUE!</v>
      </c>
      <c r="C16" s="16">
        <f>SUMIFS('Transaction Log'!$E$3:$E$246,'Transaction Log'!$B$3:$B$246,'Realized Gains &amp; Losses'!B16,'Transaction Log'!$C$3:$C$246,"BUY")</f>
        <v>15</v>
      </c>
      <c r="D16" s="43" cm="1">
        <f t="array" ref="D16">IFERROR(SUMPRODUCT(('Transaction Log'!$B$3:$B$246=B16)*('Transaction Log'!$C$3:$C$246="BUY")*'Transaction Log'!$H$3:$H$246)/C16,"")</f>
        <v>60.12</v>
      </c>
      <c r="E16" s="16">
        <f>SUMIFS('Transaction Log'!$E$3:$E$246,'Transaction Log'!$B$3:$B$246,'Realized Gains &amp; Losses'!B16,'Transaction Log'!$C$3:$C$246,"SELL")</f>
        <v>14</v>
      </c>
      <c r="F16" s="41" cm="1">
        <f t="array" ref="F16">IFERROR(SUMPRODUCT(('Transaction Log'!$B$3:$B$246=B16)*('Transaction Log'!$C$3:$C$246="SELL")*'Transaction Log'!$H$3:$H$246)/E16,)</f>
        <v>61.194285714285719</v>
      </c>
      <c r="G16" s="41">
        <f>SUMIFS('Transaction Log'!$G$3:$G$246,'Transaction Log'!$B$3:$B$246,B16,'Transaction Log'!$C$3:$C$246,"DIV")</f>
        <v>5.49</v>
      </c>
      <c r="H16" s="41">
        <f t="shared" si="0"/>
        <v>20.530000000000108</v>
      </c>
    </row>
    <row r="17" spans="2:8" x14ac:dyDescent="0.45">
      <c r="B17" s="49" t="e" vm="10">
        <v>#VALUE!</v>
      </c>
      <c r="C17" s="16">
        <f>SUMIFS('Transaction Log'!$E$3:$E$246,'Transaction Log'!$B$3:$B$246,'Realized Gains &amp; Losses'!B17,'Transaction Log'!$C$3:$C$246,"BUY")</f>
        <v>13</v>
      </c>
      <c r="D17" s="43" cm="1">
        <f t="array" ref="D17">IFERROR(SUMPRODUCT(('Transaction Log'!$B$3:$B$246=B17)*('Transaction Log'!$C$3:$C$246="BUY")*'Transaction Log'!$H$3:$H$246)/C17,"")</f>
        <v>59.803076923076915</v>
      </c>
      <c r="E17" s="16">
        <f>SUMIFS('Transaction Log'!$E$3:$E$246,'Transaction Log'!$B$3:$B$246,'Realized Gains &amp; Losses'!B17,'Transaction Log'!$C$3:$C$246,"SELL")</f>
        <v>11</v>
      </c>
      <c r="F17" s="41" cm="1">
        <f t="array" ref="F17">IFERROR(SUMPRODUCT(('Transaction Log'!$B$3:$B$246=B17)*('Transaction Log'!$C$3:$C$246="SELL")*'Transaction Log'!$H$3:$H$246)/E17,)</f>
        <v>54.664545454545447</v>
      </c>
      <c r="G17" s="41">
        <f>SUMIFS('Transaction Log'!$G$3:$G$246,'Transaction Log'!$B$3:$B$246,B17,'Transaction Log'!$C$3:$C$246,"DIV")</f>
        <v>6.6</v>
      </c>
      <c r="H17" s="41">
        <f t="shared" si="0"/>
        <v>-49.923846153846149</v>
      </c>
    </row>
    <row r="18" spans="2:8" x14ac:dyDescent="0.45">
      <c r="B18" s="49" t="e" vm="21">
        <v>#VALUE!</v>
      </c>
      <c r="C18" s="16">
        <f>SUMIFS('Transaction Log'!$E$3:$E$246,'Transaction Log'!$B$3:$B$246,'Realized Gains &amp; Losses'!B18,'Transaction Log'!$C$3:$C$246,"BUY")</f>
        <v>6</v>
      </c>
      <c r="D18" s="43" cm="1">
        <f t="array" ref="D18">IFERROR(SUMPRODUCT(('Transaction Log'!$B$3:$B$246=B18)*('Transaction Log'!$C$3:$C$246="BUY")*'Transaction Log'!$H$3:$H$246)/C18,"")</f>
        <v>82.056666666666658</v>
      </c>
      <c r="E18" s="16">
        <f>SUMIFS('Transaction Log'!$E$3:$E$246,'Transaction Log'!$B$3:$B$246,'Realized Gains &amp; Losses'!B18,'Transaction Log'!$C$3:$C$246,"SELL")</f>
        <v>6</v>
      </c>
      <c r="F18" s="41" cm="1">
        <f t="array" ref="F18">IFERROR(SUMPRODUCT(('Transaction Log'!$B$3:$B$246=B18)*('Transaction Log'!$C$3:$C$246="SELL")*'Transaction Log'!$H$3:$H$246)/E18,)</f>
        <v>85.28</v>
      </c>
      <c r="G18" s="41">
        <f>SUMIFS('Transaction Log'!$G$3:$G$246,'Transaction Log'!$B$3:$B$246,B18,'Transaction Log'!$C$3:$C$246,"DIV")</f>
        <v>6.3</v>
      </c>
      <c r="H18" s="41">
        <f t="shared" si="0"/>
        <v>25.640000000000061</v>
      </c>
    </row>
    <row r="19" spans="2:8" x14ac:dyDescent="0.45">
      <c r="B19" s="49" t="e" vm="22">
        <v>#VALUE!</v>
      </c>
      <c r="C19" s="16">
        <f>SUMIFS('Transaction Log'!$E$3:$E$246,'Transaction Log'!$B$3:$B$246,'Realized Gains &amp; Losses'!B19,'Transaction Log'!$C$3:$C$246,"BUY")</f>
        <v>4</v>
      </c>
      <c r="D19" s="43" cm="1">
        <f t="array" ref="D19">IFERROR(SUMPRODUCT(('Transaction Log'!$B$3:$B$246=B19)*('Transaction Log'!$C$3:$C$246="BUY")*'Transaction Log'!$H$3:$H$246)/C19,"")</f>
        <v>6.29</v>
      </c>
      <c r="E19" s="16">
        <f>SUMIFS('Transaction Log'!$E$3:$E$246,'Transaction Log'!$B$3:$B$246,'Realized Gains &amp; Losses'!B19,'Transaction Log'!$C$3:$C$246,"SELL")</f>
        <v>4</v>
      </c>
      <c r="F19" s="41" cm="1">
        <f t="array" ref="F19">IFERROR(SUMPRODUCT(('Transaction Log'!$B$3:$B$246=B19)*('Transaction Log'!$C$3:$C$246="SELL")*'Transaction Log'!$H$3:$H$246)/E19,)</f>
        <v>6.57</v>
      </c>
      <c r="G19" s="41">
        <f>SUMIFS('Transaction Log'!$G$3:$G$246,'Transaction Log'!$B$3:$B$246,B19,'Transaction Log'!$C$3:$C$246,"DIV")</f>
        <v>0</v>
      </c>
      <c r="H19" s="41">
        <f t="shared" si="0"/>
        <v>1.120000000000001</v>
      </c>
    </row>
    <row r="20" spans="2:8" x14ac:dyDescent="0.45">
      <c r="B20" s="49" t="e" vm="23">
        <v>#VALUE!</v>
      </c>
      <c r="C20" s="16">
        <f>SUMIFS('Transaction Log'!$E$3:$E$246,'Transaction Log'!$B$3:$B$246,'Realized Gains &amp; Losses'!B20,'Transaction Log'!$C$3:$C$246,"BUY")</f>
        <v>2</v>
      </c>
      <c r="D20" s="43" cm="1">
        <f t="array" ref="D20">IFERROR(SUMPRODUCT(('Transaction Log'!$B$3:$B$246=B20)*('Transaction Log'!$C$3:$C$246="BUY")*'Transaction Log'!$H$3:$H$246)/C20,"")</f>
        <v>80.09</v>
      </c>
      <c r="E20" s="16">
        <f>SUMIFS('Transaction Log'!$E$3:$E$246,'Transaction Log'!$B$3:$B$246,'Realized Gains &amp; Losses'!B20,'Transaction Log'!$C$3:$C$246,"SELL")</f>
        <v>2</v>
      </c>
      <c r="F20" s="41" cm="1">
        <f t="array" ref="F20">IFERROR(SUMPRODUCT(('Transaction Log'!$B$3:$B$246=B20)*('Transaction Log'!$C$3:$C$246="SELL")*'Transaction Log'!$H$3:$H$246)/E20,)</f>
        <v>82.99</v>
      </c>
      <c r="G20" s="41">
        <f>SUMIFS('Transaction Log'!$G$3:$G$246,'Transaction Log'!$B$3:$B$246,B20,'Transaction Log'!$C$3:$C$246,"DIV")</f>
        <v>0</v>
      </c>
      <c r="H20" s="41">
        <f t="shared" si="0"/>
        <v>5.7999999999999829</v>
      </c>
    </row>
    <row r="21" spans="2:8" x14ac:dyDescent="0.45">
      <c r="B21" s="49" t="e" vm="24">
        <v>#VALUE!</v>
      </c>
      <c r="C21" s="16">
        <f>SUMIFS('Transaction Log'!$E$3:$E$246,'Transaction Log'!$B$3:$B$246,'Realized Gains &amp; Losses'!B21,'Transaction Log'!$C$3:$C$246,"BUY")</f>
        <v>4</v>
      </c>
      <c r="D21" s="43" cm="1">
        <f t="array" ref="D21">IFERROR(SUMPRODUCT(('Transaction Log'!$B$3:$B$246=B21)*('Transaction Log'!$C$3:$C$246="BUY")*'Transaction Log'!$H$3:$H$246)/C21,"")</f>
        <v>36.767499999999998</v>
      </c>
      <c r="E21" s="16">
        <f>SUMIFS('Transaction Log'!$E$3:$E$246,'Transaction Log'!$B$3:$B$246,'Realized Gains &amp; Losses'!B21,'Transaction Log'!$C$3:$C$246,"SELL")</f>
        <v>4</v>
      </c>
      <c r="F21" s="41" cm="1">
        <f t="array" ref="F21">IFERROR(SUMPRODUCT(('Transaction Log'!$B$3:$B$246=B21)*('Transaction Log'!$C$3:$C$246="SELL")*'Transaction Log'!$H$3:$H$246)/E21,)</f>
        <v>36.1</v>
      </c>
      <c r="G21" s="41">
        <f>SUMIFS('Transaction Log'!$G$3:$G$246,'Transaction Log'!$B$3:$B$246,B21,'Transaction Log'!$C$3:$C$246,"DIV")</f>
        <v>0</v>
      </c>
      <c r="H21" s="41">
        <f t="shared" si="0"/>
        <v>-2.6699999999999875</v>
      </c>
    </row>
    <row r="22" spans="2:8" x14ac:dyDescent="0.45">
      <c r="B22" s="49" t="e" vm="11">
        <v>#VALUE!</v>
      </c>
      <c r="C22" s="16">
        <f>SUMIFS('Transaction Log'!$E$3:$E$246,'Transaction Log'!$B$3:$B$246,'Realized Gains &amp; Losses'!B22,'Transaction Log'!$C$3:$C$246,"BUY")</f>
        <v>112</v>
      </c>
      <c r="D22" s="43" cm="1">
        <f t="array" ref="D22">IFERROR(SUMPRODUCT(('Transaction Log'!$B$3:$B$246=B22)*('Transaction Log'!$C$3:$C$246="BUY")*'Transaction Log'!$H$3:$H$246)/C22,"")</f>
        <v>19.436785714285715</v>
      </c>
      <c r="E22" s="16">
        <f>SUMIFS('Transaction Log'!$E$3:$E$246,'Transaction Log'!$B$3:$B$246,'Realized Gains &amp; Losses'!B22,'Transaction Log'!$C$3:$C$246,"SELL")</f>
        <v>56</v>
      </c>
      <c r="F22" s="41" cm="1">
        <f t="array" ref="F22">IFERROR(SUMPRODUCT(('Transaction Log'!$B$3:$B$246=B22)*('Transaction Log'!$C$3:$C$246="SELL")*'Transaction Log'!$H$3:$H$246)/E22,)</f>
        <v>18.79</v>
      </c>
      <c r="G22" s="41">
        <f>SUMIFS('Transaction Log'!$G$3:$G$246,'Transaction Log'!$B$3:$B$246,B22,'Transaction Log'!$C$3:$C$246,"DIV")</f>
        <v>0</v>
      </c>
      <c r="H22" s="41">
        <f t="shared" si="0"/>
        <v>-36.220000000000113</v>
      </c>
    </row>
    <row r="23" spans="2:8" x14ac:dyDescent="0.45">
      <c r="B23" s="49" t="e" vm="12">
        <v>#VALUE!</v>
      </c>
      <c r="C23" s="16">
        <f>SUMIFS('Transaction Log'!$E$3:$E$246,'Transaction Log'!$B$3:$B$246,'Realized Gains &amp; Losses'!B23,'Transaction Log'!$C$3:$C$246,"BUY")</f>
        <v>1</v>
      </c>
      <c r="D23" s="43" cm="1">
        <f t="array" ref="D23">IFERROR(SUMPRODUCT(('Transaction Log'!$B$3:$B$246=B23)*('Transaction Log'!$C$3:$C$246="BUY")*'Transaction Log'!$H$3:$H$246)/C23,"")</f>
        <v>79.209999999999994</v>
      </c>
      <c r="E23" s="16">
        <f>SUMIFS('Transaction Log'!$E$3:$E$246,'Transaction Log'!$B$3:$B$246,'Realized Gains &amp; Losses'!B23,'Transaction Log'!$C$3:$C$246,"SELL")</f>
        <v>0</v>
      </c>
      <c r="F23" s="41" cm="1">
        <f t="array" ref="F23">IFERROR(SUMPRODUCT(('Transaction Log'!$B$3:$B$246=B23)*('Transaction Log'!$C$3:$C$246="SELL")*'Transaction Log'!$H$3:$H$246)/E23,)</f>
        <v>0</v>
      </c>
      <c r="G23" s="41">
        <f>SUMIFS('Transaction Log'!$G$3:$G$246,'Transaction Log'!$B$3:$B$246,B23,'Transaction Log'!$C$3:$C$246,"DIV")</f>
        <v>0</v>
      </c>
      <c r="H23" s="41">
        <f>(E23*(F23-D23))+G23</f>
        <v>0</v>
      </c>
    </row>
    <row r="24" spans="2:8" x14ac:dyDescent="0.45">
      <c r="B24" s="49" t="e" vm="25">
        <v>#VALUE!</v>
      </c>
      <c r="C24" s="16">
        <f>SUMIFS('Transaction Log'!$E$3:$E$246,'Transaction Log'!$B$3:$B$246,'Realized Gains &amp; Losses'!B24,'Transaction Log'!$C$3:$C$246,"BUY")</f>
        <v>2</v>
      </c>
      <c r="D24" s="43" cm="1">
        <f t="array" ref="D24">IFERROR(SUMPRODUCT(('Transaction Log'!$B$3:$B$246=B24)*('Transaction Log'!$C$3:$C$246="BUY")*'Transaction Log'!$H$3:$H$246)/C24,"")</f>
        <v>36.29</v>
      </c>
      <c r="E24" s="16">
        <f>SUMIFS('Transaction Log'!$E$3:$E$246,'Transaction Log'!$B$3:$B$246,'Realized Gains &amp; Losses'!B24,'Transaction Log'!$C$3:$C$246,"SELL")</f>
        <v>2</v>
      </c>
      <c r="F24" s="41" cm="1">
        <f t="array" ref="F24">IFERROR(SUMPRODUCT(('Transaction Log'!$B$3:$B$246=B24)*('Transaction Log'!$C$3:$C$246="SELL")*'Transaction Log'!$H$3:$H$246)/E24,)</f>
        <v>28.04</v>
      </c>
      <c r="G24" s="41">
        <f>SUMIFS('Transaction Log'!$G$3:$G$246,'Transaction Log'!$B$3:$B$246,B24,'Transaction Log'!$C$3:$C$246,"DIV")</f>
        <v>0</v>
      </c>
      <c r="H24" s="41">
        <f t="shared" si="0"/>
        <v>-16.5</v>
      </c>
    </row>
    <row r="25" spans="2:8" x14ac:dyDescent="0.45">
      <c r="B25" s="49" t="e" vm="26">
        <v>#VALUE!</v>
      </c>
      <c r="C25" s="16">
        <f>SUMIFS('Transaction Log'!$E$3:$E$246,'Transaction Log'!$B$3:$B$246,'Realized Gains &amp; Losses'!B25,'Transaction Log'!$C$3:$C$246,"BUY")</f>
        <v>5</v>
      </c>
      <c r="D25" s="43" cm="1">
        <f t="array" ref="D25">IFERROR(SUMPRODUCT(('Transaction Log'!$B$3:$B$246=B25)*('Transaction Log'!$C$3:$C$246="BUY")*'Transaction Log'!$H$3:$H$246)/C25,"")</f>
        <v>28.51</v>
      </c>
      <c r="E25" s="16">
        <f>SUMIFS('Transaction Log'!$E$3:$E$246,'Transaction Log'!$B$3:$B$246,'Realized Gains &amp; Losses'!B25,'Transaction Log'!$C$3:$C$246,"SELL")</f>
        <v>5</v>
      </c>
      <c r="F25" s="41" cm="1">
        <f t="array" ref="F25">IFERROR(SUMPRODUCT(('Transaction Log'!$B$3:$B$246=B25)*('Transaction Log'!$C$3:$C$246="SELL")*'Transaction Log'!$H$3:$H$246)/E25,)</f>
        <v>28.810000000000002</v>
      </c>
      <c r="G25" s="41">
        <f>SUMIFS('Transaction Log'!$G$3:$G$246,'Transaction Log'!$B$3:$B$246,B25,'Transaction Log'!$C$3:$C$246,"DIV")</f>
        <v>0</v>
      </c>
      <c r="H25" s="41">
        <f t="shared" si="0"/>
        <v>1.5000000000000036</v>
      </c>
    </row>
    <row r="26" spans="2:8" x14ac:dyDescent="0.45">
      <c r="B26" s="49" t="e" vm="13">
        <v>#VALUE!</v>
      </c>
      <c r="C26" s="16">
        <f>SUMIFS('Transaction Log'!$E$3:$E$246,'Transaction Log'!$B$3:$B$246,'Realized Gains &amp; Losses'!B26,'Transaction Log'!$C$3:$C$246,"BUY")</f>
        <v>126.6223</v>
      </c>
      <c r="D26" s="43" cm="1">
        <f t="array" ref="D26">IFERROR(SUMPRODUCT(('Transaction Log'!$B$3:$B$246=B26)*('Transaction Log'!$C$3:$C$246="BUY")*'Transaction Log'!$H$3:$H$246)/C26,"")</f>
        <v>49.925802958878499</v>
      </c>
      <c r="E26" s="16">
        <f>SUMIFS('Transaction Log'!$E$3:$E$246,'Transaction Log'!$B$3:$B$246,'Realized Gains &amp; Losses'!B26,'Transaction Log'!$C$3:$C$246,"SELL")</f>
        <v>60</v>
      </c>
      <c r="F26" s="41" cm="1">
        <f t="array" ref="F26">IFERROR(SUMPRODUCT(('Transaction Log'!$B$3:$B$246=B26)*('Transaction Log'!$C$3:$C$246="SELL")*'Transaction Log'!$H$3:$H$246)/E26,)</f>
        <v>49.881666666666668</v>
      </c>
      <c r="G26" s="41">
        <f>SUMIFS('Transaction Log'!$G$3:$G$246,'Transaction Log'!$B$3:$B$246,B26,'Transaction Log'!$C$3:$C$246,"DIV")</f>
        <v>99.679999999999978</v>
      </c>
      <c r="H26" s="41">
        <f>(E26*(F26-D26))+G26</f>
        <v>97.031822467290084</v>
      </c>
    </row>
    <row r="27" spans="2:8" x14ac:dyDescent="0.45">
      <c r="B27" s="49" t="e" vm="14">
        <v>#VALUE!</v>
      </c>
      <c r="C27" s="16">
        <f>SUMIFS('Transaction Log'!$E$3:$E$246,'Transaction Log'!$B$3:$B$246,'Realized Gains &amp; Losses'!B27,'Transaction Log'!$C$3:$C$246,"BUY")</f>
        <v>10</v>
      </c>
      <c r="D27" s="43" cm="1">
        <f t="array" ref="D27">IFERROR(SUMPRODUCT(('Transaction Log'!$B$3:$B$246=B27)*('Transaction Log'!$C$3:$C$246="BUY")*'Transaction Log'!$H$3:$H$246)/C27,"")</f>
        <v>19.369999999999997</v>
      </c>
      <c r="E27" s="16">
        <f>SUMIFS('Transaction Log'!$E$3:$E$246,'Transaction Log'!$B$3:$B$246,'Realized Gains &amp; Losses'!B27,'Transaction Log'!$C$3:$C$246,"SELL")</f>
        <v>0</v>
      </c>
      <c r="F27" s="41" cm="1">
        <f t="array" ref="F27">IFERROR(SUMPRODUCT(('Transaction Log'!$B$3:$B$246=B27)*('Transaction Log'!$C$3:$C$246="SELL")*'Transaction Log'!$H$3:$H$246)/E27,)</f>
        <v>0</v>
      </c>
      <c r="G27" s="41">
        <f>SUMIFS('Transaction Log'!$G$3:$G$246,'Transaction Log'!$B$3:$B$246,B27,'Transaction Log'!$C$3:$C$246,"DIV")</f>
        <v>0</v>
      </c>
      <c r="H27" s="41">
        <f>(E27*(F27-D27))+G27</f>
        <v>0</v>
      </c>
    </row>
    <row r="28" spans="2:8" x14ac:dyDescent="0.45">
      <c r="B28" s="49" t="e" vm="15">
        <v>#VALUE!</v>
      </c>
      <c r="C28" s="16">
        <f>SUMIFS('Transaction Log'!$E$3:$E$246,'Transaction Log'!$B$3:$B$246,'Realized Gains &amp; Losses'!B28,'Transaction Log'!$C$3:$C$246,"BUY")</f>
        <v>1</v>
      </c>
      <c r="D28" s="43" cm="1">
        <f t="array" ref="D28">IFERROR(SUMPRODUCT(('Transaction Log'!$B$3:$B$246=B28)*('Transaction Log'!$C$3:$C$246="BUY")*'Transaction Log'!$H$3:$H$246)/C28,"")</f>
        <v>122.23</v>
      </c>
      <c r="E28" s="16">
        <f>SUMIFS('Transaction Log'!$E$3:$E$246,'Transaction Log'!$B$3:$B$246,'Realized Gains &amp; Losses'!B28,'Transaction Log'!$C$3:$C$246,"SELL")</f>
        <v>0</v>
      </c>
      <c r="F28" s="41" cm="1">
        <f t="array" ref="F28">IFERROR(SUMPRODUCT(('Transaction Log'!$B$3:$B$246=B28)*('Transaction Log'!$C$3:$C$246="SELL")*'Transaction Log'!$H$3:$H$246)/E28,)</f>
        <v>0</v>
      </c>
      <c r="G28" s="41">
        <f>SUMIFS('Transaction Log'!$G$3:$G$246,'Transaction Log'!$B$3:$B$246,B28,'Transaction Log'!$C$3:$C$246,"DIV")</f>
        <v>0</v>
      </c>
      <c r="H28" s="41">
        <f t="shared" si="0"/>
        <v>0</v>
      </c>
    </row>
    <row r="29" spans="2:8" x14ac:dyDescent="0.45">
      <c r="B29" s="49" t="e" vm="16">
        <v>#VALUE!</v>
      </c>
      <c r="C29" s="16">
        <f>SUMIFS('Transaction Log'!$E$3:$E$246,'Transaction Log'!$B$3:$B$246,'Realized Gains &amp; Losses'!B29,'Transaction Log'!$C$3:$C$246,"BUY")</f>
        <v>3</v>
      </c>
      <c r="D29" s="43" cm="1">
        <f t="array" ref="D29">IFERROR(SUMPRODUCT(('Transaction Log'!$B$3:$B$246=B29)*('Transaction Log'!$C$3:$C$246="BUY")*'Transaction Log'!$H$3:$H$246)/C29,"")</f>
        <v>61.49666666666667</v>
      </c>
      <c r="E29" s="16">
        <f>SUMIFS('Transaction Log'!$E$3:$E$246,'Transaction Log'!$B$3:$B$246,'Realized Gains &amp; Losses'!B29,'Transaction Log'!$C$3:$C$246,"SELL")</f>
        <v>0</v>
      </c>
      <c r="F29" s="41" cm="1">
        <f t="array" ref="F29">IFERROR(SUMPRODUCT(('Transaction Log'!$B$3:$B$246=B29)*('Transaction Log'!$C$3:$C$246="SELL")*'Transaction Log'!$H$3:$H$246)/E29,)</f>
        <v>0</v>
      </c>
      <c r="G29" s="41">
        <f>SUMIFS('Transaction Log'!$G$3:$G$246,'Transaction Log'!$B$3:$B$246,B29,'Transaction Log'!$C$3:$C$246,"DIV")</f>
        <v>0</v>
      </c>
      <c r="H29" s="41">
        <f t="shared" si="0"/>
        <v>0</v>
      </c>
    </row>
    <row r="30" spans="2:8" x14ac:dyDescent="0.45">
      <c r="C30" s="8"/>
      <c r="D30" s="10" t="str" cm="1">
        <f t="array" ref="D30">IFERROR(SUMPRODUCT(('Transaction Log'!$B$3:$B$246=B30)*('Transaction Log'!$C$3:$C$246="BUY")*'Transaction Log'!$H$3:$H$246)/C30,"")</f>
        <v/>
      </c>
      <c r="H30" s="9"/>
    </row>
  </sheetData>
  <mergeCells count="4">
    <mergeCell ref="C2:D2"/>
    <mergeCell ref="E2:F2"/>
    <mergeCell ref="G2:G3"/>
    <mergeCell ref="H2:H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B5222-4D5A-407E-9734-D16225F456D6}">
  <dimension ref="B1:F18"/>
  <sheetViews>
    <sheetView showGridLines="0" workbookViewId="0"/>
  </sheetViews>
  <sheetFormatPr defaultRowHeight="14.25" x14ac:dyDescent="0.45"/>
  <cols>
    <col min="1" max="1" width="1.1328125" customWidth="1"/>
    <col min="2" max="2" width="8.265625" bestFit="1" customWidth="1"/>
    <col min="3" max="3" width="12" bestFit="1" customWidth="1"/>
    <col min="4" max="4" width="2.59765625" customWidth="1"/>
    <col min="5" max="5" width="43.1328125" bestFit="1" customWidth="1"/>
    <col min="6" max="6" width="12" bestFit="1" customWidth="1"/>
  </cols>
  <sheetData>
    <row r="1" spans="2:6" ht="6" customHeight="1" x14ac:dyDescent="0.45"/>
    <row r="2" spans="2:6" x14ac:dyDescent="0.45">
      <c r="B2" s="44" t="s">
        <v>38</v>
      </c>
      <c r="C2" s="45" t="s">
        <v>86</v>
      </c>
      <c r="E2" s="52" t="s">
        <v>36</v>
      </c>
      <c r="F2" s="53" t="s">
        <v>86</v>
      </c>
    </row>
    <row r="3" spans="2:6" x14ac:dyDescent="0.45">
      <c r="B3" s="13" t="str" cm="1">
        <f t="array" aca="1" ref="B3:B6" ca="1">_xlfn.UNIQUE(Dashboard!E7:E22)</f>
        <v>Large</v>
      </c>
      <c r="C3" s="17">
        <f ca="1">SUMIF(Dashboard!E7:E22,'Chart Data Source'!B3,Dashboard!I7:I22)</f>
        <v>0.71351308243375566</v>
      </c>
      <c r="E3" t="str" cm="1">
        <f t="array" ref="E3:E18">_xlfn.UNIQUE(Dashboard!C7:C22)</f>
        <v>Global Equity ETF</v>
      </c>
      <c r="F3" s="51">
        <f ca="1">SUMIF(Dashboard!C7:C22,'Chart Data Source'!E3,Dashboard!I7:I22)</f>
        <v>0.21955716020141655</v>
      </c>
    </row>
    <row r="4" spans="2:6" x14ac:dyDescent="0.45">
      <c r="B4" s="13" t="str">
        <f ca="1"/>
        <v>Mid</v>
      </c>
      <c r="C4" s="17">
        <f ca="1">SUMIF(Dashboard!E8:E24,'Chart Data Source'!B4,Dashboard!I8:I24)</f>
        <v>8.1129209396240687E-2</v>
      </c>
      <c r="E4" t="str">
        <v>US Equity ETF</v>
      </c>
      <c r="F4" s="51">
        <f ca="1">SUMIF(Dashboard!C8:C24,'Chart Data Source'!E4,Dashboard!I8:I24)</f>
        <v>0.39126365618594955</v>
      </c>
    </row>
    <row r="5" spans="2:6" x14ac:dyDescent="0.45">
      <c r="B5" s="13" t="str">
        <f ca="1"/>
        <v>Small</v>
      </c>
      <c r="C5" s="17">
        <f ca="1">SUMIF(Dashboard!E9:E24,'Chart Data Source'!B5,Dashboard!I9:I24)</f>
        <v>5.8030761474519098E-2</v>
      </c>
      <c r="E5" t="str">
        <v>Technology Equity ETF</v>
      </c>
      <c r="F5" s="51">
        <f ca="1">SUMIF(Dashboard!C9:C24,'Chart Data Source'!E5,Dashboard!I9:I24)</f>
        <v>4.8114759499259967E-2</v>
      </c>
    </row>
    <row r="6" spans="2:6" x14ac:dyDescent="0.45">
      <c r="B6" s="14" t="str">
        <f ca="1"/>
        <v>N/A</v>
      </c>
      <c r="C6" s="18">
        <f ca="1">SUMIF(Dashboard!E10:E25,'Chart Data Source'!B6,Dashboard!I10:I25)</f>
        <v>0.1473269466954846</v>
      </c>
      <c r="E6" t="str">
        <v>Semiconductors &amp; Semiconductor Equipment</v>
      </c>
      <c r="F6" s="51">
        <f ca="1">SUMIF(Dashboard!C10:C25,'Chart Data Source'!E6,Dashboard!I10:I25)</f>
        <v>1.6563827032506424E-2</v>
      </c>
    </row>
    <row r="7" spans="2:6" x14ac:dyDescent="0.45">
      <c r="C7" s="21"/>
      <c r="E7" t="str">
        <v>Canadian Dividend ETF</v>
      </c>
      <c r="F7" s="51">
        <f ca="1">SUMIF(Dashboard!C11:C26,'Chart Data Source'!E7,Dashboard!I11:I26)</f>
        <v>1.9111838101700102E-2</v>
      </c>
    </row>
    <row r="8" spans="2:6" x14ac:dyDescent="0.45">
      <c r="E8" t="str">
        <v>Consumer Technology / Hardware</v>
      </c>
      <c r="F8" s="51">
        <f ca="1">SUMIF(Dashboard!C12:C27,'Chart Data Source'!E8,Dashboard!I12:I27)</f>
        <v>2.6608346365926943E-2</v>
      </c>
    </row>
    <row r="9" spans="2:6" x14ac:dyDescent="0.45">
      <c r="E9" t="str">
        <v>Consumer Discretionary / E-Commerce &amp; Retail</v>
      </c>
      <c r="F9" s="51">
        <f ca="1">SUMIF(Dashboard!C13:C28,'Chart Data Source'!E9,Dashboard!I13:I28)</f>
        <v>1.8943750290544459E-2</v>
      </c>
    </row>
    <row r="10" spans="2:6" x14ac:dyDescent="0.45">
      <c r="E10" t="str">
        <v>Banking Services</v>
      </c>
      <c r="F10" s="51">
        <f ca="1">SUMIF(Dashboard!C14:C29,'Chart Data Source'!E10,Dashboard!I14:I29)</f>
        <v>2.0265398398933078E-2</v>
      </c>
    </row>
    <row r="11" spans="2:6" x14ac:dyDescent="0.45">
      <c r="E11" t="str">
        <v>Oil &amp; Gas Midstream / Pipelines</v>
      </c>
      <c r="F11" s="51">
        <f ca="1">SUMIF(Dashboard!C15:C30,'Chart Data Source'!E11,Dashboard!I15:I30)</f>
        <v>2.9535286960107954E-3</v>
      </c>
    </row>
    <row r="12" spans="2:6" x14ac:dyDescent="0.45">
      <c r="E12" t="str">
        <v>Utilities &amp; Power Generation</v>
      </c>
      <c r="F12" s="51">
        <f ca="1">SUMIF(Dashboard!C16:C31,'Chart Data Source'!E12,Dashboard!I16:I31)</f>
        <v>5.5317667226276093E-3</v>
      </c>
    </row>
    <row r="13" spans="2:6" x14ac:dyDescent="0.45">
      <c r="E13" t="str">
        <v>Global Growth / Innovation ETF</v>
      </c>
      <c r="F13" s="51">
        <f ca="1">SUMIF(Dashboard!C17:C32,'Chart Data Source'!E13,Dashboard!I17:I32)</f>
        <v>5.8030761474519098E-2</v>
      </c>
    </row>
    <row r="14" spans="2:6" x14ac:dyDescent="0.45">
      <c r="E14" t="str">
        <v>Nuclear Energy / Energy Technology</v>
      </c>
      <c r="F14" s="51">
        <f ca="1">SUMIF(Dashboard!C18:C33,'Chart Data Source'!E14,Dashboard!I18:I33)</f>
        <v>4.6418931022915236E-3</v>
      </c>
    </row>
    <row r="15" spans="2:6" x14ac:dyDescent="0.45">
      <c r="E15" t="str">
        <v>Money Market ETF</v>
      </c>
      <c r="F15" s="51">
        <f ca="1">SUMIF(Dashboard!C19:C34,'Chart Data Source'!E15,Dashboard!I19:I34)</f>
        <v>0.1473269466954846</v>
      </c>
    </row>
    <row r="16" spans="2:6" x14ac:dyDescent="0.45">
      <c r="E16" t="str">
        <v>Passenger Transportation / Airlines</v>
      </c>
      <c r="F16" s="51">
        <f ca="1">SUMIF(Dashboard!C20:C35,'Chart Data Source'!E16,Dashboard!I20:I35)</f>
        <v>8.3708450726530069E-3</v>
      </c>
    </row>
    <row r="17" spans="5:6" x14ac:dyDescent="0.45">
      <c r="E17" t="str">
        <v>Freight &amp; Logistics Services</v>
      </c>
      <c r="F17" s="51">
        <f ca="1">SUMIF(Dashboard!C21:C36,'Chart Data Source'!E17,Dashboard!I21:I36)</f>
        <v>4.2089336539126504E-3</v>
      </c>
    </row>
    <row r="18" spans="5:6" x14ac:dyDescent="0.45">
      <c r="E18" t="str">
        <v>Canadian Equity ETF</v>
      </c>
      <c r="F18" s="51">
        <f ca="1">SUMIF(Dashboard!C22:C37,'Chart Data Source'!E18,Dashboard!I22:I37)</f>
        <v>8.5065885062635942E-3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4F7C26DD76B342A462C8EC9166CA1F" ma:contentTypeVersion="6" ma:contentTypeDescription="Create a new document." ma:contentTypeScope="" ma:versionID="8914baff6b914dc5eb7fc1dcb91c445d">
  <xsd:schema xmlns:xsd="http://www.w3.org/2001/XMLSchema" xmlns:xs="http://www.w3.org/2001/XMLSchema" xmlns:p="http://schemas.microsoft.com/office/2006/metadata/properties" xmlns:ns3="f9361d78-3809-42ba-8fe4-3ba093e5501a" targetNamespace="http://schemas.microsoft.com/office/2006/metadata/properties" ma:root="true" ma:fieldsID="801d87d51342a6097a146c133e82ee75" ns3:_="">
    <xsd:import namespace="f9361d78-3809-42ba-8fe4-3ba093e5501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361d78-3809-42ba-8fe4-3ba093e5501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9361d78-3809-42ba-8fe4-3ba093e5501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DCD788B3-3234-42EB-88CC-016CCE200B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361d78-3809-42ba-8fe4-3ba093e550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43EEFE-3B04-4CF7-828B-10287B1B1DB3}">
  <ds:schemaRefs>
    <ds:schemaRef ds:uri="http://schemas.microsoft.com/office/2006/metadata/properties"/>
    <ds:schemaRef ds:uri="http://schemas.microsoft.com/office/infopath/2007/PartnerControls"/>
    <ds:schemaRef ds:uri="f9361d78-3809-42ba-8fe4-3ba093e5501a"/>
  </ds:schemaRefs>
</ds:datastoreItem>
</file>

<file path=customXml/itemProps3.xml><?xml version="1.0" encoding="utf-8"?>
<ds:datastoreItem xmlns:ds="http://schemas.openxmlformats.org/officeDocument/2006/customXml" ds:itemID="{8FCBF8D2-820A-4881-BF34-C23C1572E218}">
  <ds:schemaRefs>
    <ds:schemaRef ds:uri="http://schemas.microsoft.com/sharepoint/v3/contenttype/forms"/>
  </ds:schemaRefs>
</ds:datastoreItem>
</file>

<file path=customXml/itemProps4.xml><?xml version="1.0" encoding="utf-8"?>
<ds:datastoreItem xmlns:ds="http://schemas.openxmlformats.org/officeDocument/2006/customXml" ds:itemID="{739A104B-8103-4B35-AB0B-39E0B2A163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Dashboard</vt:lpstr>
      <vt:lpstr>Transaction Log</vt:lpstr>
      <vt:lpstr>Realized Gains &amp; Losses</vt:lpstr>
      <vt:lpstr>Chart Data 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Braeden Tuazon</dc:creator>
  <cp:keywords/>
  <dc:description/>
  <cp:lastModifiedBy>Braeden Tuazon</cp:lastModifiedBy>
  <cp:revision/>
  <dcterms:created xsi:type="dcterms:W3CDTF">2025-11-24T01:09:14Z</dcterms:created>
  <dcterms:modified xsi:type="dcterms:W3CDTF">2025-12-05T22:56:03Z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0x010100974F7C26DD76B342A462C8EC9166CA1F</vt:lpwstr>
  </property>
</Properties>
</file>