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b99d3ee4a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d40312d7df34261"/>
    <x:sheet xmlns:r="http://schemas.openxmlformats.org/officeDocument/2006/relationships" name="Dashboard" sheetId="2" r:id="R9cebcc2b05fa4511"/>
    <x:sheet xmlns:r="http://schemas.openxmlformats.org/officeDocument/2006/relationships" name="Securities" sheetId="3" r:id="Rd413466146af45de"/>
    <x:sheet xmlns:r="http://schemas.openxmlformats.org/officeDocument/2006/relationships" name="Monthly" sheetId="4" r:id="Ra2320dbea2944cae"/>
    <x:sheet xmlns:r="http://schemas.openxmlformats.org/officeDocument/2006/relationships" name="Transactions" sheetId="5" r:id="Rd07cc0a5e45f4cce"/>
    <x:sheet xmlns:r="http://schemas.openxmlformats.org/officeDocument/2006/relationships" name="Add Transaction" sheetId="6" r:id="R050d9792fed04c72"/>
    <x:sheet xmlns:r="http://schemas.openxmlformats.org/officeDocument/2006/relationships" name="Review" sheetId="7" r:id="Reb07d9c629d14caf"/>
    <x:sheet xmlns:r="http://schemas.openxmlformats.org/officeDocument/2006/relationships" name="Import Log" sheetId="8" r:id="Rd2f6edd467f24b06"/>
    <x:sheet xmlns:r="http://schemas.openxmlformats.org/officeDocument/2006/relationships" name="Automation Guide" sheetId="9" r:id="Rc7f4322107714193"/>
    <x:sheet xmlns:r="http://schemas.openxmlformats.org/officeDocument/2006/relationships" name="Read Me" sheetId="10" r:id="R18665b97d9a1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$&quot;#,##0.00;(&quot;$&quot;#,##0.00)"/>
    <x:numFmt numFmtId="201" formatCode="yyyy-mm-dd"/>
    <x:numFmt numFmtId="202" formatCode="0.0000;(0.0000);&quot;-&quot;"/>
    <x:numFmt numFmtId="203" formatCode="#,##0.00;(#,##0.00);&quot;-&quot;"/>
    <x:numFmt numFmtId="204" formatCode="0.0000"/>
    <x:numFmt numFmtId="205" formatCode="0.0%"/>
    <x:numFmt numFmtId="206" formatCode="yyyy-mm-dd hh:mm:ss"/>
    <x:numFmt numFmtId="207" formatCode="&quot;CAD &quot;0.00"/>
    <x:numFmt numFmtId="208" formatCode="&quot;USD &quot;0.00"/>
    <x:numFmt numFmtId="209" formatCode="General"/>
  </x:numFmts>
  <x:fonts count="12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Calibri"/>
    </x:font>
    <x:font>
      <x:b/>
      <x:sz val="20"/>
      <x:color rgb="FF000000"/>
      <x:name val="Calibri"/>
    </x:font>
    <x:font>
      <x:b/>
      <x:sz val="11"/>
      <x:color rgb="FF000000"/>
      <x:name val="Calibri"/>
    </x:font>
    <x:font>
      <x:b/>
      <x:sz val="16"/>
      <x:color rgb="FF000000"/>
      <x:name val="Arial"/>
    </x:font>
    <x:font>
      <x:sz val="10"/>
      <x:color rgb="FF000000"/>
      <x:name val="Arial"/>
    </x:font>
    <x:font>
      <x:b/>
      <x:sz val="11"/>
      <x:color rgb="FFFFFFFF"/>
      <x:name val="Arial"/>
    </x:font>
    <x:font>
      <x:b/>
      <x:sz val="20"/>
      <x:color rgb="FF000000"/>
      <x:name val="Arial"/>
    </x:font>
    <x:font>
      <x:b/>
      <x:sz val="12"/>
      <x:color rgb="FF000000"/>
      <x:name val="Arial"/>
    </x:font>
    <x:font>
      <x:sz val="11"/>
      <x:color rgb="FFFFFFFF"/>
      <x:name val="Arial"/>
    </x:font>
    <x:font>
      <x:b/>
      <x:sz val="11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C48"/>
      </x:patternFill>
    </x:fill>
    <x:fill>
      <x:patternFill patternType="solid">
        <x:fgColor rgb="FFFFF3CE"/>
      </x:patternFill>
    </x:fill>
    <x:fill>
      <x:patternFill patternType="solid">
        <x:fgColor rgb="FFF0F4F8"/>
      </x:patternFill>
    </x:fill>
    <x:fill>
      <x:patternFill patternType="solid">
        <x:fgColor rgb="FFF4F7FA"/>
      </x:patternFill>
    </x:fill>
    <x:fill>
      <x:patternFill patternType="solid">
        <x:fgColor rgb="FFEDF2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E1D5AE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7" fontId="1" fillId="5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9" fontId="1" fillId="5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6294d6cf84bb8" /><Relationship Type="http://schemas.openxmlformats.org/officeDocument/2006/relationships/theme" Target="/xl/theme/theme1.xml" Id="R9989c27dca2e456a" /><Relationship Type="http://schemas.openxmlformats.org/officeDocument/2006/relationships/sharedStrings" Target="/xl/sharedStrings.xml" Id="R69ab4dbaf7054a21" /><Relationship Type="http://schemas.openxmlformats.org/officeDocument/2006/relationships/worksheet" Target="/xl/worksheets/sheet1.xml" Id="R0d40312d7df34261" /><Relationship Type="http://schemas.openxmlformats.org/officeDocument/2006/relationships/worksheet" Target="/xl/worksheets/sheet2.xml" Id="R9cebcc2b05fa4511" /><Relationship Type="http://schemas.openxmlformats.org/officeDocument/2006/relationships/worksheet" Target="/xl/worksheets/sheet3.xml" Id="Rd413466146af45de" /><Relationship Type="http://schemas.openxmlformats.org/officeDocument/2006/relationships/worksheet" Target="/xl/worksheets/sheet4.xml" Id="Ra2320dbea2944cae" /><Relationship Type="http://schemas.openxmlformats.org/officeDocument/2006/relationships/worksheet" Target="/xl/worksheets/sheet5.xml" Id="Rd07cc0a5e45f4cce" /><Relationship Type="http://schemas.openxmlformats.org/officeDocument/2006/relationships/worksheet" Target="/xl/worksheets/sheet6.xml" Id="R050d9792fed04c72" /><Relationship Type="http://schemas.openxmlformats.org/officeDocument/2006/relationships/worksheet" Target="/xl/worksheets/sheet7.xml" Id="Reb07d9c629d14caf" /><Relationship Type="http://schemas.openxmlformats.org/officeDocument/2006/relationships/worksheet" Target="/xl/worksheets/sheet8.xml" Id="Rd2f6edd467f24b06" /><Relationship Type="http://schemas.openxmlformats.org/officeDocument/2006/relationships/worksheet" Target="/xl/worksheets/sheet9.xml" Id="Rc7f4322107714193" /><Relationship Type="http://schemas.openxmlformats.org/officeDocument/2006/relationships/worksheet" Target="/xl/worksheets/sheet10.xml" Id="R18665b97d9a143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4ded38154446ea" /><Relationship Type="http://schemas.openxmlformats.org/officeDocument/2006/relationships/chart" Target="/xl/drawings/charts/chart2.xml" Id="R6ca65ed01c4c4e3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f414ddc07944c2f" /><Relationship Type="http://schemas.openxmlformats.org/officeDocument/2006/relationships/chart" Target="/xl/drawings/charts/chart4.xml" Id="R63bf763f798c4b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Largest holdings (CAD)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Value (CAD)</c:v>
          </c:tx>
          <c:spPr>
            <a:solidFill xmlns:a="http://schemas.openxmlformats.org/drawingml/2006/main">
              <a:srgbClr val="284B70"/>
            </a:solidFill>
          </c:spPr>
          <c:invertIfNegative val="0"/>
          <c:cat>
            <c:strRef>
              <c:f>'Dashboard'!$B$34:$B$41</c:f>
              <c:strCache>
                <c:ptCount val="0"/>
              </c:strCache>
            </c:strRef>
          </c:cat>
          <c:val>
            <c:numRef>
              <c:f>'Dashboard'!$I$34:$I$41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Allocation by investment type</a:t>
            </a:r>
          </a:p>
        </c:rich>
      </c:tx>
      <c:overlay val="0"/>
    </c:title>
    <c:plotArea>
      <c:doughnutChart>
        <c:ser>
          <c:idx val="0"/>
          <c:order val="0"/>
          <c:tx>
            <c:v>Value CAD</c:v>
          </c:tx>
          <c:cat>
            <c:strRef>
              <c:f>'Monthly'!$K$6:$K$8</c:f>
              <c:strCache>
                <c:ptCount val="0"/>
              </c:strCache>
            </c:strRef>
          </c:cat>
          <c:val>
            <c:numRef>
              <c:f>'Monthly'!$L$6:$L$8</c:f>
              <c:numCache>
                <c:formatCode>#,##0.00;(#,##0.00);"-"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contributions (CAD)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ContributionsCAD</c:v>
          </c:tx>
          <c:invertIfNegative val="0"/>
          <c:cat>
            <c:strRef>
              <c:f>'Monthly'!$B$6:$B$21</c:f>
              <c:strCache>
                <c:ptCount val="0"/>
              </c:strCache>
            </c:strRef>
          </c:cat>
          <c:val>
            <c:numRef>
              <c:f>'Monthly'!$C$6:$C$21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dividends (CAD)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DividendsCAD</c:v>
          </c:tx>
          <c:spPr>
            <a:ln xmlns:a="http://schemas.openxmlformats.org/drawingml/2006/main" w="19050">
              <a:solidFill>
                <a:srgbClr val="398B83"/>
              </a:solidFill>
              <a:prstDash val="solid"/>
            </a:ln>
          </c:spPr>
          <c:marker>
            <c:symbol val="none"/>
          </c:marker>
          <c:cat>
            <c:strRef>
              <c:f>'Monthly'!$B$6:$B$21</c:f>
              <c:strCache>
                <c:ptCount val="0"/>
              </c:strCache>
            </c:strRef>
          </c:cat>
          <c:val>
            <c:numRef>
              <c:f>'Monthly'!$D$6:$D$21</c:f>
              <c:numCache>
                <c:formatCode>#,##0.00;(#,##0.00);"-"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4ded38154446ea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65ed01c4c4e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24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414ddc07944c2f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bf763f798c4b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Securities" displayName="tblSecurities" ref="B5:Z31" headerRowCount="1" totalsRowCount="0" totalsRowShown="0">
  <x:tableColumns count="25">
    <x:tableColumn id="1" name="SecurityID"/>
    <x:tableColumn id="2" name="Ticker"/>
    <x:tableColumn id="3" name="Name"/>
    <x:tableColumn id="4" name="AssetType"/>
    <x:tableColumn id="5" name="Category"/>
    <x:tableColumn id="6" name="Exchange"/>
    <x:tableColumn id="7" name="QuoteCurrency"/>
    <x:tableColumn id="8" name="Price"/>
    <x:tableColumn id="9" name="FXtoCAD"/>
    <x:tableColumn id="10" name="PriceDate"/>
    <x:tableColumn id="11" name="PriceSource"/>
    <x:tableColumn id="12" name="Shares"/>
    <x:tableColumn id="13" name="CostBasisCAD"/>
    <x:tableColumn id="14" name="AvgCostCAD"/>
    <x:tableColumn id="15" name="RealizedCAD"/>
    <x:tableColumn id="16" name="DividendsCAD"/>
    <x:tableColumn id="17" name="MarketValueCAD"/>
    <x:tableColumn id="18" name="UnrealizedCAD"/>
    <x:tableColumn id="19" name="Weight"/>
    <x:tableColumn id="20" name="Status"/>
    <x:tableColumn id="21" name="ProviderSymbol"/>
    <x:tableColumn id="22" name="ExpectedNameToken"/>
    <x:tableColumn id="23" name="QuoteStatus"/>
    <x:tableColumn id="24" name="QuoteTimestamp"/>
    <x:tableColumn id="25" name="FXDa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3" name="tblMonthly" displayName="tblMonthly" ref="B5:I21" headerRowCount="1" totalsRowCount="0" totalsRowShown="0">
  <x:tableColumns count="8">
    <x:tableColumn id="1" name="Month"/>
    <x:tableColumn id="2" name="ContributionsCAD"/>
    <x:tableColumn id="3" name="DividendsCAD"/>
    <x:tableColumn id="4" name="PurchasesCAD"/>
    <x:tableColumn id="5" name="SalesCAD"/>
    <x:tableColumn id="6" name="TaxCAD"/>
    <x:tableColumn id="7" name="CashChangeCAD"/>
    <x:tableColumn id="8" name="CumulativeCashCA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tblTransactions" displayName="tblTransactions" ref="B5:Z274" headerRowCount="1" totalsRowCount="0" totalsRowShown="0">
  <x:tableColumns count="25">
    <x:tableColumn id="1" name="RecordID"/>
    <x:tableColumn id="2" name="Date"/>
    <x:tableColumn id="3" name="TradeDate"/>
    <x:tableColumn id="4" name="SecurityID"/>
    <x:tableColumn id="5" name="Type"/>
    <x:tableColumn id="6" name="Quantity"/>
    <x:tableColumn id="7" name="AmountCAD"/>
    <x:tableColumn id="8" name="Currency"/>
    <x:tableColumn id="9" name="StatementBalance"/>
    <x:tableColumn id="10" name="SourceFile"/>
    <x:tableColumn id="11" name="SourceRow"/>
    <x:tableColumn id="12" name="Description"/>
    <x:tableColumn id="13" name="Status"/>
    <x:tableColumn id="14" name="SignedQty"/>
    <x:tableColumn id="15" name="PriorQty"/>
    <x:tableColumn id="16" name="PriorCostCAD"/>
    <x:tableColumn id="17" name="AverageCostCAD"/>
    <x:tableColumn id="18" name="CostChangeCAD"/>
    <x:tableColumn id="19" name="RealizedCAD"/>
    <x:tableColumn id="20" name="EndingQty"/>
    <x:tableColumn id="21" name="EndingCostCAD"/>
    <x:tableColumn id="22" name="DividendCAD"/>
    <x:tableColumn id="23" name="ContributionCAD"/>
    <x:tableColumn id="24" name="Month"/>
    <x:tableColumn id="25" name="LedgerStat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blReview" displayName="tblReview" ref="B5:E8" headerRowCount="1" totalsRowCount="0" totalsRowShown="0">
  <x:tableColumns count="4">
    <x:tableColumn id="1" name="SourceFile"/>
    <x:tableColumn id="2" name="SourceRow"/>
    <x:tableColumn id="3" name="Issue"/>
    <x:tableColumn id="4" name="Descrip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blImports" displayName="tblImports" ref="B5:F22" headerRowCount="1" totalsRowCount="0" totalsRowShown="0">
  <x:tableColumns count="5">
    <x:tableColumn id="1" name="File"/>
    <x:tableColumn id="2" name="Rows"/>
    <x:tableColumn id="3" name="Action"/>
    <x:tableColumn id="4" name="DuplicateOf"/>
    <x:tableColumn id="5" name="SHA256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8b803f06f2b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12144ca308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0bc57713e17492b" /><Relationship Type="http://schemas.openxmlformats.org/officeDocument/2006/relationships/table" Target="/xl/tables/table2.xml" Id="Rea92f928c11e41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a024a0183fb40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57088bd26bd4a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4d9d22b24b848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" hidden="0" customWidth="1"/>
    <x:col min="2" max="2" width="24.399999618530273" hidden="0" customWidth="1"/>
    <x:col min="3" max="3" width="48.130001068115234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2"/>
      <x:c r="B2" s="7" t="str">
        <x:v>Investment Portfolio Tracker</x:v>
      </x:c>
      <x:c r="C2" s="7"/>
      <x:c r="D2" s="7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8" t="str">
        <x:v>Data Period</x:v>
      </x:c>
      <x:c r="C4" s="4" t="str">
        <x:v>July 2024 to October 2025</x:v>
      </x:c>
      <x:c r="D4" s="4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1" customHeight="1">
      <x:c r="A5" s="2"/>
      <x:c r="B5" s="8" t="str">
        <x:v>Project</x:v>
      </x:c>
      <x:c r="C5" s="4" t="str">
        <x:v>Investment portfolio analysis</x:v>
      </x:c>
      <x:c r="D5" s="4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4" customHeight="1">
      <x:c r="A6" s="2"/>
      <x:c r="B6" s="8" t="str">
        <x:v>Purpose</x:v>
      </x:c>
      <x:c r="C6" s="9" t="str">
        <x:v>This workbook tracks recorded investments, calculates gains and income, and updates the dashboard using market prices.</x:v>
      </x:c>
      <x:c r="D6" s="4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4" customHeight="1">
      <x:c r="A7" s="2"/>
      <x:c r="B7" s="8" t="str">
        <x:v>Data Sources</x:v>
      </x:c>
      <x:c r="C7" s="9" t="str">
        <x:v>Third party brokerage CSV statements and Yahoo Finance prices. Python prepares the data and VBA updates the workbook.</x:v>
      </x:c>
      <x:c r="D7" s="4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1" customHeight="1">
      <x:c r="A8" s="2"/>
      <x:c r="B8" s="4"/>
      <x:c r="C8" s="4"/>
      <x:c r="D8" s="4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"/>
      <x:c r="B9" s="8" t="str">
        <x:v>Key Portfolio Results</x:v>
      </x:c>
      <x:c r="C9" s="8" t="str">
        <x:v>Values</x:v>
      </x:c>
      <x:c r="D9" s="4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1" customHeight="1">
      <x:c r="A10" s="2"/>
      <x:c r="B10" s="4" t="str">
        <x:v>Portfolio Value</x:v>
      </x:c>
      <x:c r="C10" s="10" t="n">
        <x:f>Dashboard!B6</x:f>
        <x:v>26357.778681</x:v>
      </x:c>
      <x:c r="D10" s="4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1" customHeight="1">
      <x:c r="A11" s="2"/>
      <x:c r="B11" s="4" t="str">
        <x:v>Net Contributions</x:v>
      </x:c>
      <x:c r="C11" s="10" t="n">
        <x:f>Dashboard!F6</x:f>
        <x:v>19475</x:v>
      </x:c>
      <x:c r="D11" s="4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4" t="str">
        <x:v>Total Gain</x:v>
      </x:c>
      <x:c r="C12" s="10" t="n">
        <x:f>Dashboard!J6</x:f>
        <x:v>6882.778681</x:v>
      </x:c>
      <x:c r="D12" s="4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4" t="str">
        <x:v>Realized Gains</x:v>
      </x:c>
      <x:c r="C13" s="10" t="n">
        <x:f>Dashboard!L10</x:f>
        <x:v>771.6177859946556</x:v>
      </x:c>
      <x:c r="D13" s="4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4" t="str">
        <x:v>Dividends Received</x:v>
      </x:c>
      <x:c r="C14" s="10" t="n">
        <x:f>Dashboard!H10</x:f>
        <x:v>339.66999999999996</x:v>
      </x:c>
      <x:c r="D14" s="4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4" t="str">
        <x:v>Recorded Cash</x:v>
      </x:c>
      <x:c r="C15" s="10" t="n">
        <x:f>Dashboard!D10</x:f>
        <x:v>586.3500000000037</x:v>
      </x:c>
      <x:c r="D15" s="4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4"/>
      <x:c r="C16" s="4"/>
      <x:c r="D16" s="4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8" t="str">
        <x:v>Model Details</x:v>
      </x:c>
      <x:c r="C17" s="8" t="str">
        <x:v>Description</x:v>
      </x:c>
      <x:c r="D17" s="4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4" t="str">
        <x:v>Reporting Currency</x:v>
      </x:c>
      <x:c r="C18" s="4" t="str">
        <x:v>Canadian dollars</x:v>
      </x:c>
      <x:c r="D18" s="4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4" t="str">
        <x:v>Cost Basis</x:v>
      </x:c>
      <x:c r="C19" s="4" t="str">
        <x:v>Moving average cost</x:v>
      </x:c>
      <x:c r="D19" s="4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6" customHeight="1">
      <x:c r="A20" s="2"/>
      <x:c r="B20" s="4" t="str">
        <x:v>Price Updates</x:v>
      </x:c>
      <x:c r="C20" s="9" t="str">
        <x:v>Use Refresh prices to update available share prices and CAD conversion rates.</x:v>
      </x:c>
      <x:c r="D20" s="4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customHeight="1">
      <x:c r="A21" s="2"/>
      <x:c r="B21" s="4" t="str">
        <x:v>Data Ownership</x:v>
      </x:c>
      <x:c r="C21" s="9" t="str">
        <x:v>Third party records used for this case study.</x:v>
      </x:c>
      <x:c r="D21" s="4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4" t="str">
        <x:v>Transaction Records</x:v>
      </x:c>
      <x:c r="C22" s="4" t="n">
        <x:f>ROWS(tblTransactions[RecordID])</x:f>
        <x:v>269</x:v>
      </x:c>
      <x:c r="D22" s="4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4" t="str">
        <x:v>Open Investments</x:v>
      </x:c>
      <x:c r="C23" s="4" t="n">
        <x:f>COUNTIF(tblSecurities[Shares],"&gt;0.000001")</x:f>
        <x:v>16</x:v>
      </x:c>
      <x:c r="D23" s="4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4"/>
      <x:c r="C24" s="4"/>
      <x:c r="D24" s="4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8" t="str">
        <x:v>Workbook Tabs Overview</x:v>
      </x:c>
      <x:c r="C25" s="8" t="str">
        <x:v>Description</x:v>
      </x:c>
      <x:c r="D25" s="4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4" customHeight="1">
      <x:c r="A26" s="2"/>
      <x:c r="B26" s="4" t="str">
        <x:v>Dashboard</x:v>
      </x:c>
      <x:c r="C26" s="9" t="str">
        <x:v>Shows portfolio value, gains, allocation and open investments.</x:v>
      </x:c>
      <x:c r="D26" s="4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4" customHeight="1">
      <x:c r="A27" s="2"/>
      <x:c r="B27" s="4" t="str">
        <x:v>Securities</x:v>
      </x:c>
      <x:c r="C27" s="9" t="str">
        <x:v>Stores listing details, prices and holdings calculations.</x:v>
      </x:c>
      <x:c r="D27" s="4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4" customHeight="1">
      <x:c r="A28" s="2"/>
      <x:c r="B28" s="4" t="str">
        <x:v>Monthly</x:v>
      </x:c>
      <x:c r="C28" s="9" t="str">
        <x:v>Summarizes monthly contributions, dividends and cash activity.</x:v>
      </x:c>
      <x:c r="D28" s="4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4" customHeight="1">
      <x:c r="A29" s="2"/>
      <x:c r="B29" s="4" t="str">
        <x:v>Transactions</x:v>
      </x:c>
      <x:c r="C29" s="9" t="str">
        <x:v>Keeps the transaction history and calculates cost basis and realized gains.</x:v>
      </x:c>
      <x:c r="D29" s="4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4" customHeight="1">
      <x:c r="A30" s="2"/>
      <x:c r="B30" s="4" t="str">
        <x:v>Add Transaction</x:v>
      </x:c>
      <x:c r="C30" s="9" t="str">
        <x:v>Provides entry fields and buttons for recording new activity.</x:v>
      </x:c>
      <x:c r="D30" s="4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4" customHeight="1">
      <x:c r="A31" s="2"/>
      <x:c r="B31" s="4" t="str">
        <x:v>Review</x:v>
      </x:c>
      <x:c r="C31" s="9" t="str">
        <x:v>Explains source differences and the NVIDIA split adjustment.</x:v>
      </x:c>
      <x:c r="D31" s="4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4" customHeight="1">
      <x:c r="A32" s="2"/>
      <x:c r="B32" s="4" t="str">
        <x:v>Import Log</x:v>
      </x:c>
      <x:c r="C32" s="9" t="str">
        <x:v>Lists the statement files and identifies the duplicate excluded from the data.</x:v>
      </x:c>
      <x:c r="D32" s="4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4" customHeight="1">
      <x:c r="A33" s="2"/>
      <x:c r="B33" s="4" t="str">
        <x:v>Automation Guide</x:v>
      </x:c>
      <x:c r="C33" s="9" t="str">
        <x:v>Explains how to install the buttons and use them step by step.</x:v>
      </x:c>
      <x:c r="D33" s="4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4" customHeight="1">
      <x:c r="A34" s="2"/>
      <x:c r="B34" s="4" t="str">
        <x:v>Read Me</x:v>
      </x:c>
      <x:c r="C34" s="9" t="str">
        <x:v>Explains the files, sources and calculation methods.</x:v>
      </x:c>
      <x:c r="D34" s="4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mergeCells>
    <x:mergeCell ref="B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2C48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27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3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Portfolio overview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Third party case study. Units through 31 Oct 2025; latest retrieved market quotes.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1" customHeight="1">
      <x:c r="A5" s="2"/>
      <x:c r="B5" s="12" t="str">
        <x:v>Case study value (CAD)</x:v>
      </x:c>
      <x:c r="C5" s="2"/>
      <x:c r="D5" s="2"/>
      <x:c r="E5" s="2"/>
      <x:c r="F5" s="12" t="str">
        <x:v>Net contributions (CAD)</x:v>
      </x:c>
      <x:c r="G5" s="2"/>
      <x:c r="H5" s="2"/>
      <x:c r="I5" s="2"/>
      <x:c r="J5" s="12" t="str">
        <x:v>Total gain (CAD)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1" customHeight="1">
      <x:c r="A6" s="2"/>
      <x:c r="B6" s="26" t="n">
        <x:f>IF(COUNTIF(tblSecurities[Status],"Price refresh needed")+COUNTIF(tblSecurities[Status],"History exception")+COUNTIF(tblSecurities[Status],"Stale price")&gt;0,"Refresh required",SUM(tblSecurities[MarketValueCAD])+SUM(tblTransactions[AmountCAD]))</x:f>
        <x:v>26357.778681</x:v>
      </x:c>
      <x:c r="C6" s="24"/>
      <x:c r="D6" s="24"/>
      <x:c r="E6" s="2"/>
      <x:c r="F6" s="26" t="n">
        <x:f>SUM(tblTransactions[ContributionCAD])</x:f>
        <x:v>19475</x:v>
      </x:c>
      <x:c r="G6" s="24"/>
      <x:c r="H6" s="24"/>
      <x:c r="I6" s="2"/>
      <x:c r="J6" s="26" t="n">
        <x:f>IF(ISNUMBER(B6),B6-F6,"Refresh required")</x:f>
        <x:v>6882.778681</x:v>
      </x:c>
      <x:c r="K6" s="24"/>
      <x:c r="L6" s="24"/>
      <x:c r="M6" s="24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1" customHeight="1">
      <x:c r="A7" s="2"/>
      <x:c r="B7" s="24"/>
      <x:c r="C7" s="24"/>
      <x:c r="D7" s="24"/>
      <x:c r="E7" s="2"/>
      <x:c r="F7" s="24"/>
      <x:c r="G7" s="24"/>
      <x:c r="H7" s="24"/>
      <x:c r="I7" s="2"/>
      <x:c r="J7" s="24"/>
      <x:c r="K7" s="24"/>
      <x:c r="L7" s="24"/>
      <x:c r="M7" s="24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1" customHeight="1">
      <x:c r="A10" s="2"/>
      <x:c r="B10" s="2" t="str">
        <x:v>Recorded cash</x:v>
      </x:c>
      <x:c r="C10" s="2"/>
      <x:c r="D10" s="18" t="n">
        <x:f>SUM(tblTransactions[AmountCAD])</x:f>
        <x:v>586.3500000000037</x:v>
      </x:c>
      <x:c r="E10" s="2"/>
      <x:c r="F10" s="2" t="str">
        <x:v>Dividends</x:v>
      </x:c>
      <x:c r="G10" s="2"/>
      <x:c r="H10" s="18" t="n">
        <x:f>SUM(tblTransactions[DividendCAD])</x:f>
        <x:v>339.66999999999996</x:v>
      </x:c>
      <x:c r="I10" s="2"/>
      <x:c r="J10" s="2" t="str">
        <x:v>Realized gains</x:v>
      </x:c>
      <x:c r="K10" s="2"/>
      <x:c r="L10" s="18" t="n">
        <x:f>IF(COUNTIF(tblSecurities[Status],"History exception")&gt;0,"History exception",SUM(tblSecurities[RealizedCAD]))</x:f>
        <x:v>771.6177859946556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12" t="str">
        <x:v>Use Refresh prices to update prices and calculations.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0" customHeight="1">
      <x:c r="A33" s="2"/>
      <x:c r="B33" s="14" t="str">
        <x:v>Ticker</x:v>
      </x:c>
      <x:c r="C33" s="14" t="str">
        <x:v>Investment</x:v>
      </x:c>
      <x:c r="D33" s="14" t="str">
        <x:v>Type</x:v>
      </x:c>
      <x:c r="E33" s="14" t="str">
        <x:v>Units</x:v>
      </x:c>
      <x:c r="F33" s="14" t="str">
        <x:v>Quote</x:v>
      </x:c>
      <x:c r="G33" s="14" t="str">
        <x:v>CAD FX</x:v>
      </x:c>
      <x:c r="H33" s="14" t="str">
        <x:v>Cost (CAD)</x:v>
      </x:c>
      <x:c r="I33" s="14" t="str">
        <x:v>Value (CAD)</x:v>
      </x:c>
      <x:c r="J33" s="14" t="str">
        <x:v>Gain (CAD)</x:v>
      </x:c>
      <x:c r="K33" s="14" t="str">
        <x:v>Weight</x:v>
      </x:c>
      <x:c r="L33" s="14" t="str">
        <x:v>Listing</x:v>
      </x:c>
      <x:c r="M33" s="14" t="str">
        <x:v>Status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4" customHeight="1">
      <x:c r="A34" s="2"/>
      <x:c r="B34" s="28" t="str">
        <x:f>Securities!C28</x:f>
        <x:v>VFV</x:v>
      </x:c>
      <x:c r="C34" s="32" t="str">
        <x:f>Securities!D28</x:f>
        <x:v>Vanguard S&amp;P 500 ETF</x:v>
      </x:c>
      <x:c r="D34" s="28" t="str">
        <x:f>Securities!E28</x:f>
        <x:v>ETF</x:v>
      </x:c>
      <x:c r="E34" s="34" t="n">
        <x:f>Securities!M28</x:f>
        <x:v>52.2578</x:v>
      </x:c>
      <x:c r="F34" s="29" t="n">
        <x:f>Securities!I28</x:f>
        <x:v>191.57</x:v>
      </x:c>
      <x:c r="G34" s="36" t="n">
        <x:f>Securities!J28</x:f>
        <x:v>1</x:v>
      </x:c>
      <x:c r="H34" s="35" t="n">
        <x:f>Securities!N28</x:f>
        <x:v>7785.429991735696</x:v>
      </x:c>
      <x:c r="I34" s="35" t="n">
        <x:f>Securities!R28</x:f>
        <x:v>10011.026746</x:v>
      </x:c>
      <x:c r="J34" s="35" t="n">
        <x:f>Securities!S28</x:f>
        <x:v>2225.596754264304</x:v>
      </x:c>
      <x:c r="K34" s="38" t="n">
        <x:f>Securities!T28</x:f>
        <x:v>0.3884544729714824</x:v>
      </x:c>
      <x:c r="L34" s="39" t="str">
        <x:f>Securities!G28</x:f>
        <x:v>TSX</x:v>
      </x:c>
      <x:c r="M34" s="28" t="str">
        <x:f>Securities!U28</x:f>
        <x:v>Current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4" customHeight="1">
      <x:c r="A35" s="2"/>
      <x:c r="B35" s="2" t="str">
        <x:f>Securities!C30</x:f>
        <x:v>XEQT</x:v>
      </x:c>
      <x:c r="C35" s="33" t="str">
        <x:f>Securities!D30</x:f>
        <x:v>iShares Core Equity ETF</x:v>
      </x:c>
      <x:c r="D35" s="2" t="str">
        <x:f>Securities!E30</x:f>
        <x:v>ETF</x:v>
      </x:c>
      <x:c r="E35" s="17" t="n">
        <x:f>Securities!M30</x:f>
        <x:v>123.8272</x:v>
      </x:c>
      <x:c r="F35" s="27" t="n">
        <x:f>Securities!I30</x:f>
        <x:v>45.42</x:v>
      </x:c>
      <x:c r="G35" s="37" t="n">
        <x:f>Securities!J30</x:f>
        <x:v>1</x:v>
      </x:c>
      <x:c r="H35" s="18" t="n">
        <x:f>Securities!N30</x:f>
        <x:v>4263.534644929883</x:v>
      </x:c>
      <x:c r="I35" s="18" t="n">
        <x:f>Securities!R30</x:f>
        <x:v>5624.2314240000005</x:v>
      </x:c>
      <x:c r="J35" s="18" t="n">
        <x:f>Securities!S30</x:f>
        <x:v>1360.6967790701174</x:v>
      </x:c>
      <x:c r="K35" s="22" t="n">
        <x:f>Securities!T30</x:f>
        <x:v>0.2182351430189227</x:v>
      </x:c>
      <x:c r="L35" s="40" t="str">
        <x:f>Securities!G30</x:f>
        <x:v>TSX</x:v>
      </x:c>
      <x:c r="M35" s="2" t="str">
        <x:f>Securities!U30</x:f>
        <x:v>Current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4" customHeight="1">
      <x:c r="A36" s="2"/>
      <x:c r="B36" s="28" t="str">
        <x:f>Securities!C31</x:f>
        <x:v>ZMMK</x:v>
      </x:c>
      <x:c r="C36" s="32" t="str">
        <x:f>Securities!D31</x:f>
        <x:v>BMO Money Market ETF</x:v>
      </x:c>
      <x:c r="D36" s="28" t="str">
        <x:f>Securities!E31</x:f>
        <x:v>ETF</x:v>
      </x:c>
      <x:c r="E36" s="34" t="n">
        <x:f>Securities!M31</x:f>
        <x:v>66.6223</x:v>
      </x:c>
      <x:c r="F36" s="29" t="n">
        <x:f>Securities!I31</x:f>
        <x:v>49.82</x:v>
      </x:c>
      <x:c r="G36" s="36" t="n">
        <x:f>Securities!J31</x:f>
        <x:v>1</x:v>
      </x:c>
      <x:c r="H36" s="35" t="n">
        <x:f>Securities!N31</x:f>
        <x:v>3326.163149329079</x:v>
      </x:c>
      <x:c r="I36" s="35" t="n">
        <x:f>Securities!R31</x:f>
        <x:v>3319.122986</x:v>
      </x:c>
      <x:c r="J36" s="35" t="n">
        <x:f>Securities!S31</x:f>
        <x:v>-7.0401633290789505</x:v>
      </x:c>
      <x:c r="K36" s="38" t="n">
        <x:f>Securities!T31</x:f>
        <x:v>0.128790802678589</x:v>
      </x:c>
      <x:c r="L36" s="39" t="str">
        <x:f>Securities!G31</x:f>
        <x:v>TSX</x:v>
      </x:c>
      <x:c r="M36" s="28" t="str">
        <x:f>Securities!U31</x:f>
        <x:v>Current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4" customHeight="1">
      <x:c r="A37" s="2"/>
      <x:c r="B37" s="2" t="str">
        <x:f>Securities!C16</x:f>
        <x:v>FINN</x:v>
      </x:c>
      <x:c r="C37" s="33" t="str">
        <x:f>Securities!D16</x:f>
        <x:v>Fidelity Global Innovators ETF</x:v>
      </x:c>
      <x:c r="D37" s="2" t="str">
        <x:f>Securities!E16</x:f>
        <x:v>ETF</x:v>
      </x:c>
      <x:c r="E37" s="17" t="n">
        <x:f>Securities!M16</x:f>
        <x:v>56</x:v>
      </x:c>
      <x:c r="F37" s="27" t="n">
        <x:f>Securities!I16</x:f>
        <x:v>33.32</x:v>
      </x:c>
      <x:c r="G37" s="37" t="n">
        <x:f>Securities!J16</x:f>
        <x:v>1</x:v>
      </x:c>
      <x:c r="H37" s="18" t="n">
        <x:f>Securities!N16</x:f>
        <x:v>1073.78</x:v>
      </x:c>
      <x:c r="I37" s="18" t="n">
        <x:f>Securities!R16</x:f>
        <x:v>1865.92</x:v>
      </x:c>
      <x:c r="J37" s="18" t="n">
        <x:f>Securities!S16</x:f>
        <x:v>792.1400000000001</x:v>
      </x:c>
      <x:c r="K37" s="22" t="n">
        <x:f>Securities!T16</x:f>
        <x:v>0.07240266044604857</x:v>
      </x:c>
      <x:c r="L37" s="40" t="str">
        <x:f>Securities!G16</x:f>
        <x:v>Cboe Canada</x:v>
      </x:c>
      <x:c r="M37" s="2" t="str">
        <x:f>Securities!U16</x:f>
        <x:v>Current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4" customHeight="1">
      <x:c r="A38" s="2"/>
      <x:c r="B38" s="28" t="str">
        <x:f>Securities!C24</x:f>
        <x:v>TEC</x:v>
      </x:c>
      <x:c r="C38" s="32" t="str">
        <x:f>Securities!D24</x:f>
        <x:v>TD Global Technology ETF</x:v>
      </x:c>
      <x:c r="D38" s="28" t="str">
        <x:f>Securities!E24</x:f>
        <x:v>ETF</x:v>
      </x:c>
      <x:c r="E38" s="34" t="n">
        <x:f>Securities!M24</x:f>
        <x:v>20.0079</x:v>
      </x:c>
      <x:c r="F38" s="29" t="n">
        <x:f>Securities!I24</x:f>
        <x:v>61.54</x:v>
      </x:c>
      <x:c r="G38" s="36" t="n">
        <x:f>Securities!J24</x:f>
        <x:v>1</x:v>
      </x:c>
      <x:c r="H38" s="35" t="n">
        <x:f>Securities!N24</x:f>
        <x:v>893.2</x:v>
      </x:c>
      <x:c r="I38" s="35" t="n">
        <x:f>Securities!R24</x:f>
        <x:v>1231.2861659999999</x:v>
      </x:c>
      <x:c r="J38" s="35" t="n">
        <x:f>Securities!S24</x:f>
        <x:v>338.0861659999998</x:v>
      </x:c>
      <x:c r="K38" s="38" t="n">
        <x:f>Securities!T24</x:f>
        <x:v>0.04777717918711144</x:v>
      </x:c>
      <x:c r="L38" s="39" t="str">
        <x:f>Securities!G24</x:f>
        <x:v>TSX</x:v>
      </x:c>
      <x:c r="M38" s="28" t="str">
        <x:f>Securities!U24</x:f>
        <x:v>Current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4" customHeight="1">
      <x:c r="A39" s="2"/>
      <x:c r="B39" s="2" t="str">
        <x:f>Securities!C6</x:f>
        <x:v>AAPL</x:v>
      </x:c>
      <x:c r="C39" s="33" t="str">
        <x:f>Securities!D6</x:f>
        <x:v>Apple CDR</x:v>
      </x:c>
      <x:c r="D39" s="2" t="str">
        <x:f>Securities!E6</x:f>
        <x:v>CDR</x:v>
      </x:c>
      <x:c r="E39" s="17" t="n">
        <x:f>Securities!M6</x:f>
        <x:v>15.029300000000001</x:v>
      </x:c>
      <x:c r="F39" s="27" t="n">
        <x:f>Securities!I6</x:f>
        <x:v>49.02</x:v>
      </x:c>
      <x:c r="G39" s="37" t="n">
        <x:f>Securities!J6</x:f>
        <x:v>1</x:v>
      </x:c>
      <x:c r="H39" s="18" t="n">
        <x:f>Securities!N6</x:f>
        <x:v>436.21</x:v>
      </x:c>
      <x:c r="I39" s="18" t="n">
        <x:f>Securities!R6</x:f>
        <x:v>736.7362860000001</x:v>
      </x:c>
      <x:c r="J39" s="18" t="n">
        <x:f>Securities!S6</x:f>
        <x:v>300.5262860000001</x:v>
      </x:c>
      <x:c r="K39" s="22" t="n">
        <x:f>Securities!T6</x:f>
        <x:v>0.028587328049188027</x:v>
      </x:c>
      <x:c r="L39" s="40" t="str">
        <x:f>Securities!G6</x:f>
        <x:v>TSX</x:v>
      </x:c>
      <x:c r="M39" s="2" t="str">
        <x:f>Securities!U6</x:f>
        <x:v>Current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4" customHeight="1">
      <x:c r="A40" s="2"/>
      <x:c r="B40" s="28" t="str">
        <x:f>Securities!C22</x:f>
        <x:v>RY</x:v>
      </x:c>
      <x:c r="C40" s="32" t="str">
        <x:f>Securities!D22</x:f>
        <x:v>Royal Bank of Canada</x:v>
      </x:c>
      <x:c r="D40" s="28" t="str">
        <x:f>Securities!E22</x:f>
        <x:v>Equity</x:v>
      </x:c>
      <x:c r="E40" s="34" t="n">
        <x:f>Securities!M22</x:f>
        <x:v>2.0329</x:v>
      </x:c>
      <x:c r="F40" s="29" t="n">
        <x:f>Securities!I22</x:f>
        <x:v>288.21</x:v>
      </x:c>
      <x:c r="G40" s="36" t="n">
        <x:f>Securities!J22</x:f>
        <x:v>1</x:v>
      </x:c>
      <x:c r="H40" s="35" t="n">
        <x:f>Securities!N22</x:f>
        <x:v>337.95</x:v>
      </x:c>
      <x:c r="I40" s="35" t="n">
        <x:f>Securities!R22</x:f>
        <x:v>585.902109</x:v>
      </x:c>
      <x:c r="J40" s="35" t="n">
        <x:f>Securities!S22</x:f>
        <x:v>247.952109</x:v>
      </x:c>
      <x:c r="K40" s="38" t="n">
        <x:f>Securities!T22</x:f>
        <x:v>0.02273456067385029</x:v>
      </x:c>
      <x:c r="L40" s="39" t="str">
        <x:f>Securities!G22</x:f>
        <x:v>TSX</x:v>
      </x:c>
      <x:c r="M40" s="28" t="str">
        <x:f>Securities!U22</x:f>
        <x:v>Current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4" customHeight="1">
      <x:c r="A41" s="2"/>
      <x:c r="B41" s="2" t="str">
        <x:f>Securities!C18</x:f>
        <x:v>NVDA</x:v>
      </x:c>
      <x:c r="C41" s="33" t="str">
        <x:f>Securities!D18</x:f>
        <x:v>NVIDIA CDR</x:v>
      </x:c>
      <x:c r="D41" s="2" t="str">
        <x:f>Securities!E18</x:f>
        <x:v>CDR</x:v>
      </x:c>
      <x:c r="E41" s="17" t="n">
        <x:f>Securities!M18</x:f>
        <x:v>12.001700000000001</x:v>
      </x:c>
      <x:c r="F41" s="27" t="n">
        <x:f>Securities!I18</x:f>
        <x:v>47.5</x:v>
      </x:c>
      <x:c r="G41" s="37" t="n">
        <x:f>Securities!J18</x:f>
        <x:v>1</x:v>
      </x:c>
      <x:c r="H41" s="18" t="n">
        <x:f>Securities!N18</x:f>
        <x:v>374.7099999999999</x:v>
      </x:c>
      <x:c r="I41" s="18" t="n">
        <x:f>Securities!R18</x:f>
        <x:v>570.0807500000001</x:v>
      </x:c>
      <x:c r="J41" s="18" t="n">
        <x:f>Securities!S18</x:f>
        <x:v>195.37075000000016</x:v>
      </x:c>
      <x:c r="K41" s="22" t="n">
        <x:f>Securities!T18</x:f>
        <x:v>0.022120649850518086</x:v>
      </x:c>
      <x:c r="L41" s="40" t="str">
        <x:f>Securities!G18</x:f>
        <x:v>TSX</x:v>
      </x:c>
      <x:c r="M41" s="2" t="str">
        <x:f>Securities!U18</x:f>
        <x:v>Current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4" customHeight="1">
      <x:c r="A42" s="2"/>
      <x:c r="B42" s="28" t="str">
        <x:f>Securities!C27</x:f>
        <x:v>VDY</x:v>
      </x:c>
      <x:c r="C42" s="32" t="str">
        <x:f>Securities!D27</x:f>
        <x:v>Vanguard Canadian Dividend ETF</x:v>
      </x:c>
      <x:c r="D42" s="28" t="str">
        <x:f>Securities!E27</x:f>
        <x:v>ETF</x:v>
      </x:c>
      <x:c r="E42" s="34" t="n">
        <x:f>Securities!M27</x:f>
        <x:v>7.046599999999999</x:v>
      </x:c>
      <x:c r="F42" s="29" t="n">
        <x:f>Securities!I27</x:f>
        <x:v>79.48</x:v>
      </x:c>
      <x:c r="G42" s="36" t="n">
        <x:f>Securities!J27</x:f>
        <x:v>1</x:v>
      </x:c>
      <x:c r="H42" s="35" t="n">
        <x:f>Securities!N27</x:f>
        <x:v>375.7699999999999</x:v>
      </x:c>
      <x:c r="I42" s="35" t="n">
        <x:f>Securities!R27</x:f>
        <x:v>560.063768</x:v>
      </x:c>
      <x:c r="J42" s="35" t="n">
        <x:f>Securities!S27</x:f>
        <x:v>184.29376800000006</x:v>
      </x:c>
      <x:c r="K42" s="38" t="n">
        <x:f>Securities!T27</x:f>
        <x:v>0.021731964297846917</x:v>
      </x:c>
      <x:c r="L42" s="39" t="str">
        <x:f>Securities!G27</x:f>
        <x:v>TSX</x:v>
      </x:c>
      <x:c r="M42" s="28" t="str">
        <x:f>Securities!U27</x:f>
        <x:v>Current</x:v>
      </x:c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4" customHeight="1">
      <x:c r="A43" s="2"/>
      <x:c r="B43" s="2" t="str">
        <x:f>Securities!C8</x:f>
        <x:v>AMZN</x:v>
      </x:c>
      <x:c r="C43" s="33" t="str">
        <x:f>Securities!D8</x:f>
        <x:v>Amazon CDR</x:v>
      </x:c>
      <x:c r="D43" s="2" t="str">
        <x:f>Securities!E8</x:f>
        <x:v>CDR</x:v>
      </x:c>
      <x:c r="E43" s="17" t="n">
        <x:f>Securities!M8</x:f>
        <x:v>16</x:v>
      </x:c>
      <x:c r="F43" s="27" t="n">
        <x:f>Securities!I8</x:f>
        <x:v>27.73</x:v>
      </x:c>
      <x:c r="G43" s="37" t="n">
        <x:f>Securities!J8</x:f>
        <x:v>1</x:v>
      </x:c>
      <x:c r="H43" s="18" t="n">
        <x:f>Securities!N8</x:f>
        <x:v>390.78999999999996</x:v>
      </x:c>
      <x:c r="I43" s="18" t="n">
        <x:f>Securities!R8</x:f>
        <x:v>443.68</x:v>
      </x:c>
      <x:c r="J43" s="18" t="n">
        <x:f>Securities!S8</x:f>
        <x:v>52.89000000000004</x:v>
      </x:c>
      <x:c r="K43" s="22" t="n">
        <x:f>Securities!T8</x:f>
        <x:v>0.01721596445008512</x:v>
      </x:c>
      <x:c r="L43" s="40" t="str">
        <x:f>Securities!G8</x:f>
        <x:v>TSX</x:v>
      </x:c>
      <x:c r="M43" s="2" t="str">
        <x:f>Securities!U8</x:f>
        <x:v>Current</x:v>
      </x:c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4" customHeight="1">
      <x:c r="A44" s="2"/>
      <x:c r="B44" s="28" t="str">
        <x:f>Securities!C26</x:f>
        <x:v>VCN</x:v>
      </x:c>
      <x:c r="C44" s="32" t="str">
        <x:f>Securities!D26</x:f>
        <x:v>Vanguard Canadian Equity ETF</x:v>
      </x:c>
      <x:c r="D44" s="28" t="str">
        <x:f>Securities!E26</x:f>
        <x:v>ETF</x:v>
      </x:c>
      <x:c r="E44" s="34" t="n">
        <x:f>Securities!M26</x:f>
        <x:v>3</x:v>
      </x:c>
      <x:c r="F44" s="29" t="n">
        <x:f>Securities!I26</x:f>
        <x:v>73.75</x:v>
      </x:c>
      <x:c r="G44" s="36" t="n">
        <x:f>Securities!J26</x:f>
        <x:v>1</x:v>
      </x:c>
      <x:c r="H44" s="35" t="n">
        <x:f>Securities!N26</x:f>
        <x:v>184.49</x:v>
      </x:c>
      <x:c r="I44" s="35" t="n">
        <x:f>Securities!R26</x:f>
        <x:v>221.25</x:v>
      </x:c>
      <x:c r="J44" s="35" t="n">
        <x:f>Securities!S26</x:f>
        <x:v>36.75999999999999</x:v>
      </x:c>
      <x:c r="K44" s="38" t="n">
        <x:f>Securities!T26</x:f>
        <x:v>0.008585088655295106</x:v>
      </x:c>
      <x:c r="L44" s="39" t="str">
        <x:f>Securities!G26</x:f>
        <x:v>TSX</x:v>
      </x:c>
      <x:c r="M44" s="28" t="str">
        <x:f>Securities!U26</x:f>
        <x:v>Current</x:v>
      </x:c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4" customHeight="1">
      <x:c r="A45" s="2"/>
      <x:c r="B45" s="2" t="str">
        <x:f>Securities!C7</x:f>
        <x:v>AC</x:v>
      </x:c>
      <x:c r="C45" s="33" t="str">
        <x:f>Securities!D7</x:f>
        <x:v>Air Canada</x:v>
      </x:c>
      <x:c r="D45" s="2" t="str">
        <x:f>Securities!E7</x:f>
        <x:v>Equity</x:v>
      </x:c>
      <x:c r="E45" s="17" t="n">
        <x:f>Securities!M7</x:f>
        <x:v>10</x:v>
      </x:c>
      <x:c r="F45" s="27" t="n">
        <x:f>Securities!I7</x:f>
        <x:v>21.87</x:v>
      </x:c>
      <x:c r="G45" s="37" t="n">
        <x:f>Securities!J7</x:f>
        <x:v>1</x:v>
      </x:c>
      <x:c r="H45" s="18" t="n">
        <x:f>Securities!N7</x:f>
        <x:v>193.7</x:v>
      </x:c>
      <x:c r="I45" s="18" t="n">
        <x:f>Securities!R7</x:f>
        <x:v>218.70000000000002</x:v>
      </x:c>
      <x:c r="J45" s="18" t="n">
        <x:f>Securities!S7</x:f>
        <x:v>25.00000000000003</x:v>
      </x:c>
      <x:c r="K45" s="22" t="n">
        <x:f>Securities!T7</x:f>
        <x:v>0.0084861418707934</x:v>
      </x:c>
      <x:c r="L45" s="40" t="str">
        <x:f>Securities!G7</x:f>
        <x:v>TSX</x:v>
      </x:c>
      <x:c r="M45" s="2" t="str">
        <x:f>Securities!U7</x:f>
        <x:v>Current</x:v>
      </x:c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34" customHeight="1">
      <x:c r="A46" s="2"/>
      <x:c r="B46" s="28" t="str">
        <x:f>Securities!C25</x:f>
        <x:v>UPS</x:v>
      </x:c>
      <x:c r="C46" s="32" t="str">
        <x:f>Securities!D25</x:f>
        <x:v>United Parcel Service</x:v>
      </x:c>
      <x:c r="D46" s="28" t="str">
        <x:f>Securities!E25</x:f>
        <x:v>Equity</x:v>
      </x:c>
      <x:c r="E46" s="34" t="n">
        <x:f>Securities!M25</x:f>
        <x:v>1</x:v>
      </x:c>
      <x:c r="F46" s="31" t="n">
        <x:f>Securities!I25</x:f>
        <x:v>107.33</x:v>
      </x:c>
      <x:c r="G46" s="36" t="n">
        <x:f>Securities!J25</x:f>
        <x:v>1.3989</x:v>
      </x:c>
      <x:c r="H46" s="35" t="n">
        <x:f>Securities!N25</x:f>
        <x:v>122.23</x:v>
      </x:c>
      <x:c r="I46" s="35" t="n">
        <x:f>Securities!R25</x:f>
        <x:v>150.143937</x:v>
      </x:c>
      <x:c r="J46" s="35" t="n">
        <x:f>Securities!S25</x:f>
        <x:v>27.91393699999999</x:v>
      </x:c>
      <x:c r="K46" s="38" t="n">
        <x:f>Securities!T25</x:f>
        <x:v>0.00582598422689285</x:v>
      </x:c>
      <x:c r="L46" s="39" t="str">
        <x:f>Securities!G25</x:f>
        <x:v>NYSE</x:v>
      </x:c>
      <x:c r="M46" s="28" t="str">
        <x:f>Securities!U25</x:f>
        <x:v>Current</x:v>
      </x:c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34" customHeight="1">
      <x:c r="A47" s="2"/>
      <x:c r="B47" s="2" t="str">
        <x:f>Securities!C14</x:f>
        <x:v>CPX</x:v>
      </x:c>
      <x:c r="C47" s="33" t="str">
        <x:f>Securities!D14</x:f>
        <x:v>Capital Power</x:v>
      </x:c>
      <x:c r="D47" s="2" t="str">
        <x:f>Securities!E14</x:f>
        <x:v>Equity</x:v>
      </x:c>
      <x:c r="E47" s="17" t="n">
        <x:f>Securities!M14</x:f>
        <x:v>2</x:v>
      </x:c>
      <x:c r="F47" s="27" t="n">
        <x:f>Securities!I14</x:f>
        <x:v>63.44</x:v>
      </x:c>
      <x:c r="G47" s="37" t="n">
        <x:f>Securities!J14</x:f>
        <x:v>1</x:v>
      </x:c>
      <x:c r="H47" s="18" t="n">
        <x:f>Securities!N14</x:f>
        <x:v>120.76</x:v>
      </x:c>
      <x:c r="I47" s="18" t="n">
        <x:f>Securities!R14</x:f>
        <x:v>126.88</x:v>
      </x:c>
      <x:c r="J47" s="18" t="n">
        <x:f>Securities!S14</x:f>
        <x:v>6.11999999999999</x:v>
      </x:c>
      <x:c r="K47" s="22" t="n">
        <x:f>Securities!T14</x:f>
        <x:v>0.004923281575520195</x:v>
      </x:c>
      <x:c r="L47" s="40" t="str">
        <x:f>Securities!G14</x:f>
        <x:v>TSX</x:v>
      </x:c>
      <x:c r="M47" s="2" t="str">
        <x:f>Securities!U14</x:f>
        <x:v>Current</x:v>
      </x:c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34" customHeight="1">
      <x:c r="A48" s="2"/>
      <x:c r="B48" s="28" t="str">
        <x:f>Securities!C15</x:f>
        <x:v>ENB</x:v>
      </x:c>
      <x:c r="C48" s="32" t="str">
        <x:f>Securities!D15</x:f>
        <x:v>Enbridge</x:v>
      </x:c>
      <x:c r="D48" s="28" t="str">
        <x:f>Securities!E15</x:f>
        <x:v>Equity</x:v>
      </x:c>
      <x:c r="E48" s="34" t="n">
        <x:f>Securities!M15</x:f>
        <x:v>1</x:v>
      </x:c>
      <x:c r="F48" s="29" t="n">
        <x:f>Securities!I15</x:f>
        <x:v>68.9</x:v>
      </x:c>
      <x:c r="G48" s="36" t="n">
        <x:f>Securities!J15</x:f>
        <x:v>1</x:v>
      </x:c>
      <x:c r="H48" s="35" t="n">
        <x:f>Securities!N15</x:f>
        <x:v>66.78</x:v>
      </x:c>
      <x:c r="I48" s="35" t="n">
        <x:f>Securities!R15</x:f>
        <x:v>68.9</x:v>
      </x:c>
      <x:c r="J48" s="35" t="n">
        <x:f>Securities!S15</x:f>
        <x:v>2.1200000000000045</x:v>
      </x:c>
      <x:c r="K48" s="38" t="n">
        <x:f>Securities!T15</x:f>
        <x:v>0.0026735033145755156</x:v>
      </x:c>
      <x:c r="L48" s="39" t="str">
        <x:f>Securities!G15</x:f>
        <x:v>TSX</x:v>
      </x:c>
      <x:c r="M48" s="28" t="str">
        <x:f>Securities!U15</x:f>
        <x:v>Current</x:v>
      </x:c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34" customHeight="1">
      <x:c r="A49" s="2"/>
      <x:c r="B49" s="2" t="str">
        <x:f>Securities!C19</x:f>
        <x:v>OKLO</x:v>
      </x:c>
      <x:c r="C49" s="33" t="str">
        <x:f>Securities!D19</x:f>
        <x:v>Oklo</x:v>
      </x:c>
      <x:c r="D49" s="2" t="str">
        <x:f>Securities!E19</x:f>
        <x:v>Equity</x:v>
      </x:c>
      <x:c r="E49" s="17" t="n">
        <x:f>Securities!M19</x:f>
        <x:v>1</x:v>
      </x:c>
      <x:c r="F49" s="30" t="n">
        <x:f>Securities!I19</x:f>
        <x:v>26.81</x:v>
      </x:c>
      <x:c r="G49" s="37" t="n">
        <x:f>Securities!J19</x:f>
        <x:v>1.3989</x:v>
      </x:c>
      <x:c r="H49" s="18" t="n">
        <x:f>Securities!N19</x:f>
        <x:v>79.21</x:v>
      </x:c>
      <x:c r="I49" s="18" t="n">
        <x:f>Securities!R19</x:f>
        <x:v>37.504509</x:v>
      </x:c>
      <x:c r="J49" s="18" t="n">
        <x:f>Securities!S19</x:f>
        <x:v>-41.705490999999995</x:v>
      </x:c>
      <x:c r="K49" s="22" t="n">
        <x:f>Securities!T19</x:f>
        <x:v>0.0014552747332805117</x:v>
      </x:c>
      <x:c r="L49" s="40" t="str">
        <x:f>Securities!G19</x:f>
        <x:v>NYSE</x:v>
      </x:c>
      <x:c r="M49" s="2" t="str">
        <x:f>Securities!U19</x:f>
        <x:v>Current</x:v>
      </x:c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mergeCells>
    <x:mergeCell ref="B6:D7"/>
    <x:mergeCell ref="F6:H7"/>
    <x:mergeCell ref="J6:M7"/>
    <x:mergeCell ref="B12:M12"/>
  </x:mergeCells>
  <x:pageMargins left="0.7" right="0.7" top="0.75" bottom="0.75" header="0.3" footer="0.3"/>
  <x:drawing xmlns:r="http://schemas.openxmlformats.org/officeDocument/2006/relationships" r:id="Rf8b803f06f2b4668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2" hidden="0" customWidth="1"/>
    <x:col min="3" max="3" width="16" hidden="0" customWidth="1"/>
    <x:col min="4" max="4" width="6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4" hidden="0" customWidth="1"/>
    <x:col min="23" max="23" width="24" hidden="0" customWidth="1"/>
    <x:col min="24" max="24" width="16" hidden="0" customWidth="1"/>
    <x:col min="25" max="25" width="34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Securities and holdings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Listing-specific quotes, holdings and cost basis. Blue cells are editable. Closed positions need no current quote.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15" t="str">
        <x:v>SecurityID</x:v>
      </x:c>
      <x:c r="C5" s="15" t="str">
        <x:v>Ticker</x:v>
      </x:c>
      <x:c r="D5" s="15" t="str">
        <x:v>Name</x:v>
      </x:c>
      <x:c r="E5" s="15" t="str">
        <x:v>AssetType</x:v>
      </x:c>
      <x:c r="F5" s="15" t="str">
        <x:v>Category</x:v>
      </x:c>
      <x:c r="G5" s="15" t="str">
        <x:v>Exchange</x:v>
      </x:c>
      <x:c r="H5" s="15" t="str">
        <x:v>QuoteCurrency</x:v>
      </x:c>
      <x:c r="I5" s="15" t="str">
        <x:v>Price</x:v>
      </x:c>
      <x:c r="J5" s="15" t="str">
        <x:v>FXtoCAD</x:v>
      </x:c>
      <x:c r="K5" s="15" t="str">
        <x:v>PriceDate</x:v>
      </x:c>
      <x:c r="L5" s="15" t="str">
        <x:v>PriceSource</x:v>
      </x:c>
      <x:c r="M5" s="15" t="str">
        <x:v>Shares</x:v>
      </x:c>
      <x:c r="N5" s="15" t="str">
        <x:v>CostBasisCAD</x:v>
      </x:c>
      <x:c r="O5" s="15" t="str">
        <x:v>AvgCostCAD</x:v>
      </x:c>
      <x:c r="P5" s="15" t="str">
        <x:v>RealizedCAD</x:v>
      </x:c>
      <x:c r="Q5" s="15" t="str">
        <x:v>DividendsCAD</x:v>
      </x:c>
      <x:c r="R5" s="15" t="str">
        <x:v>MarketValueCAD</x:v>
      </x:c>
      <x:c r="S5" s="15" t="str">
        <x:v>UnrealizedCAD</x:v>
      </x:c>
      <x:c r="T5" s="15" t="str">
        <x:v>Weight</x:v>
      </x:c>
      <x:c r="U5" s="15" t="str">
        <x:v>Status</x:v>
      </x:c>
      <x:c r="V5" s="15" t="str">
        <x:v>ProviderSymbol</x:v>
      </x:c>
      <x:c r="W5" s="15" t="str">
        <x:v>ExpectedNameToken</x:v>
      </x:c>
      <x:c r="X5" s="15" t="str">
        <x:v>QuoteStatus</x:v>
      </x:c>
      <x:c r="Y5" s="15" t="str">
        <x:v>QuoteTimestamp</x:v>
      </x:c>
      <x:c r="Z5" s="15" t="str">
        <x:v>FXDate</x:v>
      </x:c>
    </x:row>
    <x:row r="6" ht="21" customHeight="1">
      <x:c r="A6" s="2"/>
      <x:c r="B6" s="2" t="str">
        <x:v>AAPL_CDR</x:v>
      </x:c>
      <x:c r="C6" s="2" t="str">
        <x:v>AAPL</x:v>
      </x:c>
      <x:c r="D6" s="2" t="str">
        <x:v>Apple CDR</x:v>
      </x:c>
      <x:c r="E6" s="2" t="str">
        <x:v>CDR</x:v>
      </x:c>
      <x:c r="F6" s="2" t="str">
        <x:v>CAD hedged CDR</x:v>
      </x:c>
      <x:c r="G6" s="2" t="str">
        <x:v>TSX</x:v>
      </x:c>
      <x:c r="H6" s="2" t="str">
        <x:v>CAD</x:v>
      </x:c>
      <x:c r="I6" s="20" t="n">
        <x:v>49.02</x:v>
      </x:c>
      <x:c r="J6" s="20" t="n">
        <x:v>1</x:v>
      </x:c>
      <x:c r="K6" s="21" t="d">
        <x:v>2026-10-29T00:00:00.000Z</x:v>
      </x:c>
      <x:c r="L6" s="2" t="str">
        <x:v>https://finance.yahoo.com/quote/AAPL.TO/</x:v>
      </x:c>
      <x:c r="M6" s="17" t="n">
        <x:f>SUMIF(tblTransactions[SecurityID],B6,tblTransactions[SignedQty])</x:f>
        <x:v>15.029300000000001</x:v>
      </x:c>
      <x:c r="N6" s="18" t="n">
        <x:f>SUMIF(tblTransactions[SecurityID],B6,tblTransactions[CostChangeCAD])</x:f>
        <x:v>436.21</x:v>
      </x:c>
      <x:c r="O6" s="18" t="n">
        <x:f>IF(M6&gt;0,N6/M6,0)</x:f>
        <x:v>29.023973172403235</x:v>
      </x:c>
      <x:c r="P6" s="18" t="n">
        <x:f>IF(COUNTIFS(tblTransactions[SecurityID],B6,tblTransactions[LedgerStatus],"REVIEW")&gt;0,"REVIEW",SUMIF(tblTransactions[SecurityID],B6,tblTransactions[RealizedCAD]))</x:f>
        <x:v>34.309999999999974</x:v>
      </x:c>
      <x:c r="Q6" s="18" t="n">
        <x:f>SUMIF(tblTransactions[SecurityID],B6,tblTransactions[DividendCAD])</x:f>
        <x:v>1.48</x:v>
      </x:c>
      <x:c r="R6" s="18" t="n">
        <x:f>IF(P6="REVIEW","",IF(ABS(M6)&lt;0.000001,0,IF(AND(ISNUMBER(I6),I6&gt;0,ISNUMBER(J6),J6&gt;0,ISNUMBER(K6),K6&gt;0,K6&lt;=TODAY(),OR(X6="OK",X6="MANUAL"),ISNUMBER(Z6),Z6&lt;=TODAY(),TODAY()-Z6&lt;=7,L6&lt;&gt;"",L6&lt;&gt;"",G6&lt;&gt;"",H6&lt;&gt;""),M6*I6*J6,"")))</x:f>
        <x:v>736.7362860000001</x:v>
      </x:c>
      <x:c r="S6" s="18" t="n">
        <x:f>IF(AND(ISNUMBER(R6),ISNUMBER(P6),M6&gt;=0),R6-N6,"")</x:f>
        <x:v>300.5262860000001</x:v>
      </x:c>
      <x:c r="T6" s="22" t="n">
        <x:f>IF(AND(COUNTIF(tblSecurities[Status],"Price refresh needed")+COUNTIF(tblSecurities[Status],"History exception")+COUNTIF(tblSecurities[Status],"Stale price")=0,ISNUMBER(R6),SUM(tblSecurities[MarketValueCAD])&gt;0),R6/SUM(tblSecurities[MarketValueCAD]),"")</x:f>
        <x:v>0.028587328049188027</x:v>
      </x:c>
      <x:c r="U6" s="2" t="str">
        <x:f>IF(OR(M6&lt;-0.000001,P6="REVIEW"),"History exception",IF(ABS(M6)&lt;0.000001,"Closed",IF(NOT(ISNUMBER(R6)),"Price refresh needed",IF(TODAY()-K6&gt;7,"Stale price","Current"))))</x:f>
        <x:v>Current</x:v>
      </x:c>
      <x:c r="V6" s="2" t="str">
        <x:v>AAPL.TO;AAPL.NE</x:v>
      </x:c>
      <x:c r="W6" s="2" t="str">
        <x:v>Apple</x:v>
      </x:c>
      <x:c r="X6" s="2" t="str">
        <x:v>OK</x:v>
      </x:c>
      <x:c r="Y6" s="23" t="d">
        <x:v>2026-10-29T19:59:59.000Z</x:v>
      </x:c>
      <x:c r="Z6" s="16" t="d">
        <x:v>2026-10-29T00:00:00.000Z</x:v>
      </x:c>
    </x:row>
    <x:row r="7" ht="21" customHeight="1">
      <x:c r="A7" s="2"/>
      <x:c r="B7" s="2" t="str">
        <x:v>AC_ORD</x:v>
      </x:c>
      <x:c r="C7" s="2" t="str">
        <x:v>AC</x:v>
      </x:c>
      <x:c r="D7" s="2" t="str">
        <x:v>Air Canada</x:v>
      </x:c>
      <x:c r="E7" s="2" t="str">
        <x:v>Equity</x:v>
      </x:c>
      <x:c r="F7" s="2" t="str">
        <x:v>Canadian-listed equity</x:v>
      </x:c>
      <x:c r="G7" s="2" t="str">
        <x:v>TSX</x:v>
      </x:c>
      <x:c r="H7" s="2" t="str">
        <x:v>CAD</x:v>
      </x:c>
      <x:c r="I7" s="20" t="n">
        <x:v>21.87</x:v>
      </x:c>
      <x:c r="J7" s="20" t="n">
        <x:v>1</x:v>
      </x:c>
      <x:c r="K7" s="21" t="d">
        <x:v>2026-10-29T00:00:00.000Z</x:v>
      </x:c>
      <x:c r="L7" s="2" t="str">
        <x:v>https://finance.yahoo.com/quote/AC.TO/</x:v>
      </x:c>
      <x:c r="M7" s="17" t="n">
        <x:f>SUMIF(tblTransactions[SecurityID],B7,tblTransactions[SignedQty])</x:f>
        <x:v>10</x:v>
      </x:c>
      <x:c r="N7" s="18" t="n">
        <x:f>SUMIF(tblTransactions[SecurityID],B7,tblTransactions[CostChangeCAD])</x:f>
        <x:v>193.7</x:v>
      </x:c>
      <x:c r="O7" s="18" t="n">
        <x:f>IF(M7&gt;0,N7/M7,0)</x:f>
        <x:v>19.369999999999997</x:v>
      </x:c>
      <x:c r="P7" s="18" t="n">
        <x:f>IF(COUNTIFS(tblTransactions[SecurityID],B7,tblTransactions[LedgerStatus],"REVIEW")&gt;0,"REVIEW",SUMIF(tblTransactions[SecurityID],B7,tblTransactions[RealizedCAD]))</x:f>
        <x:v>0</x:v>
      </x:c>
      <x:c r="Q7" s="18" t="n">
        <x:f>SUMIF(tblTransactions[SecurityID],B7,tblTransactions[DividendCAD])</x:f>
        <x:v>0</x:v>
      </x:c>
      <x:c r="R7" s="18" t="n">
        <x:f>IF(P7="REVIEW","",IF(ABS(M7)&lt;0.000001,0,IF(AND(ISNUMBER(I7),I7&gt;0,ISNUMBER(J7),J7&gt;0,ISNUMBER(K7),K7&gt;0,K7&lt;=TODAY(),OR(X7="OK",X7="MANUAL"),ISNUMBER(Z7),Z7&lt;=TODAY(),TODAY()-Z7&lt;=7,L7&lt;&gt;"",L7&lt;&gt;"",G7&lt;&gt;"",H7&lt;&gt;""),M7*I7*J7,"")))</x:f>
        <x:v>218.70000000000002</x:v>
      </x:c>
      <x:c r="S7" s="18" t="n">
        <x:f>IF(AND(ISNUMBER(R7),ISNUMBER(P7),M7&gt;=0),R7-N7,"")</x:f>
        <x:v>25.00000000000003</x:v>
      </x:c>
      <x:c r="T7" s="22" t="n">
        <x:f>IF(AND(COUNTIF(tblSecurities[Status],"Price refresh needed")+COUNTIF(tblSecurities[Status],"History exception")+COUNTIF(tblSecurities[Status],"Stale price")=0,ISNUMBER(R7),SUM(tblSecurities[MarketValueCAD])&gt;0),R7/SUM(tblSecurities[MarketValueCAD]),"")</x:f>
        <x:v>0.0084861418707934</x:v>
      </x:c>
      <x:c r="U7" s="2" t="str">
        <x:f>IF(OR(M7&lt;-0.000001,P7="REVIEW"),"History exception",IF(ABS(M7)&lt;0.000001,"Closed",IF(NOT(ISNUMBER(R7)),"Price refresh needed",IF(TODAY()-K7&gt;7,"Stale price","Current"))))</x:f>
        <x:v>Current</x:v>
      </x:c>
      <x:c r="V7" s="2" t="str">
        <x:v>AC.TO</x:v>
      </x:c>
      <x:c r="W7" s="2" t="str">
        <x:v>Air Canada</x:v>
      </x:c>
      <x:c r="X7" s="2" t="str">
        <x:v>OK</x:v>
      </x:c>
      <x:c r="Y7" s="23" t="d">
        <x:v>2026-10-29T20:00:00.000Z</x:v>
      </x:c>
      <x:c r="Z7" s="16" t="d">
        <x:v>2026-10-29T00:00:00.000Z</x:v>
      </x:c>
    </x:row>
    <x:row r="8" ht="21" customHeight="1">
      <x:c r="A8" s="2"/>
      <x:c r="B8" s="2" t="str">
        <x:v>AMZN_CDR</x:v>
      </x:c>
      <x:c r="C8" s="2" t="str">
        <x:v>AMZN</x:v>
      </x:c>
      <x:c r="D8" s="2" t="str">
        <x:v>Amazon CDR</x:v>
      </x:c>
      <x:c r="E8" s="2" t="str">
        <x:v>CDR</x:v>
      </x:c>
      <x:c r="F8" s="2" t="str">
        <x:v>CAD hedged CDR</x:v>
      </x:c>
      <x:c r="G8" s="2" t="str">
        <x:v>TSX</x:v>
      </x:c>
      <x:c r="H8" s="2" t="str">
        <x:v>CAD</x:v>
      </x:c>
      <x:c r="I8" s="20" t="n">
        <x:v>27.73</x:v>
      </x:c>
      <x:c r="J8" s="20" t="n">
        <x:v>1</x:v>
      </x:c>
      <x:c r="K8" s="21" t="d">
        <x:v>2026-10-29T00:00:00.000Z</x:v>
      </x:c>
      <x:c r="L8" s="2" t="str">
        <x:v>https://finance.yahoo.com/quote/AMZN.TO/</x:v>
      </x:c>
      <x:c r="M8" s="17" t="n">
        <x:f>SUMIF(tblTransactions[SecurityID],B8,tblTransactions[SignedQty])</x:f>
        <x:v>16</x:v>
      </x:c>
      <x:c r="N8" s="18" t="n">
        <x:f>SUMIF(tblTransactions[SecurityID],B8,tblTransactions[CostChangeCAD])</x:f>
        <x:v>390.78999999999996</x:v>
      </x:c>
      <x:c r="O8" s="18" t="n">
        <x:f>IF(M8&gt;0,N8/M8,0)</x:f>
        <x:v>24.424374999999998</x:v>
      </x:c>
      <x:c r="P8" s="18" t="n">
        <x:f>IF(COUNTIFS(tblTransactions[SecurityID],B8,tblTransactions[LedgerStatus],"REVIEW")&gt;0,"REVIEW",SUMIF(tblTransactions[SecurityID],B8,tblTransactions[RealizedCAD]))</x:f>
        <x:v>-4.660000000000004</x:v>
      </x:c>
      <x:c r="Q8" s="18" t="n">
        <x:f>SUMIF(tblTransactions[SecurityID],B8,tblTransactions[DividendCAD])</x:f>
        <x:v>0</x:v>
      </x:c>
      <x:c r="R8" s="18" t="n">
        <x:f>IF(P8="REVIEW","",IF(ABS(M8)&lt;0.000001,0,IF(AND(ISNUMBER(I8),I8&gt;0,ISNUMBER(J8),J8&gt;0,ISNUMBER(K8),K8&gt;0,K8&lt;=TODAY(),OR(X8="OK",X8="MANUAL"),ISNUMBER(Z8),Z8&lt;=TODAY(),TODAY()-Z8&lt;=7,L8&lt;&gt;"",L8&lt;&gt;"",G8&lt;&gt;"",H8&lt;&gt;""),M8*I8*J8,"")))</x:f>
        <x:v>443.68</x:v>
      </x:c>
      <x:c r="S8" s="18" t="n">
        <x:f>IF(AND(ISNUMBER(R8),ISNUMBER(P8),M8&gt;=0),R8-N8,"")</x:f>
        <x:v>52.89000000000004</x:v>
      </x:c>
      <x:c r="T8" s="22" t="n">
        <x:f>IF(AND(COUNTIF(tblSecurities[Status],"Price refresh needed")+COUNTIF(tblSecurities[Status],"History exception")+COUNTIF(tblSecurities[Status],"Stale price")=0,ISNUMBER(R8),SUM(tblSecurities[MarketValueCAD])&gt;0),R8/SUM(tblSecurities[MarketValueCAD]),"")</x:f>
        <x:v>0.01721596445008512</x:v>
      </x:c>
      <x:c r="U8" s="2" t="str">
        <x:f>IF(OR(M8&lt;-0.000001,P8="REVIEW"),"History exception",IF(ABS(M8)&lt;0.000001,"Closed",IF(NOT(ISNUMBER(R8)),"Price refresh needed",IF(TODAY()-K8&gt;7,"Stale price","Current"))))</x:f>
        <x:v>Current</x:v>
      </x:c>
      <x:c r="V8" s="2" t="str">
        <x:v>AMZN.TO;AMZN.NE</x:v>
      </x:c>
      <x:c r="W8" s="2" t="str">
        <x:v>Amazon</x:v>
      </x:c>
      <x:c r="X8" s="2" t="str">
        <x:v>OK</x:v>
      </x:c>
      <x:c r="Y8" s="23" t="d">
        <x:v>2026-10-29T19:59:59.000Z</x:v>
      </x:c>
      <x:c r="Z8" s="16" t="d">
        <x:v>2026-10-29T00:00:00.000Z</x:v>
      </x:c>
    </x:row>
    <x:row r="9" ht="21" customHeight="1">
      <x:c r="A9" s="2"/>
      <x:c r="B9" s="2" t="str">
        <x:v>BLN_ORD</x:v>
      </x:c>
      <x:c r="C9" s="2" t="str">
        <x:v>BLN</x:v>
      </x:c>
      <x:c r="D9" s="2" t="str">
        <x:v>Blackline Safety Corp</x:v>
      </x:c>
      <x:c r="E9" s="2" t="str">
        <x:v>Equity</x:v>
      </x:c>
      <x:c r="F9" s="2" t="str">
        <x:v>Canadian-listed equity</x:v>
      </x:c>
      <x:c r="G9" s="2" t="str">
        <x:v>TSX</x:v>
      </x:c>
      <x:c r="H9" s="2" t="str">
        <x:v>CAD</x:v>
      </x:c>
      <x:c r="I9" s="20"/>
      <x:c r="J9" s="20"/>
      <x:c r="K9" s="21"/>
      <x:c r="L9" s="2" t="str">
        <x:v>Closed position</x:v>
      </x:c>
      <x:c r="M9" s="17" t="n">
        <x:f>SUMIF(tblTransactions[SecurityID],B9,tblTransactions[SignedQty])</x:f>
        <x:v>0</x:v>
      </x:c>
      <x:c r="N9" s="18" t="n">
        <x:f>SUMIF(tblTransactions[SecurityID],B9,tblTransactions[CostChangeCAD])</x:f>
        <x:v>0</x:v>
      </x:c>
      <x:c r="O9" s="18" t="n">
        <x:f>IF(M9&gt;0,N9/M9,0)</x:f>
        <x:v>0</x:v>
      </x:c>
      <x:c r="P9" s="18" t="n">
        <x:f>IF(COUNTIFS(tblTransactions[SecurityID],B9,tblTransactions[LedgerStatus],"REVIEW")&gt;0,"REVIEW",SUMIF(tblTransactions[SecurityID],B9,tblTransactions[RealizedCAD]))</x:f>
        <x:v>1.120000000000001</x:v>
      </x:c>
      <x:c r="Q9" s="18" t="n">
        <x:f>SUMIF(tblTransactions[SecurityID],B9,tblTransactions[DividendCAD])</x:f>
        <x:v>0</x:v>
      </x:c>
      <x:c r="R9" s="18" t="n">
        <x:f>IF(P9="REVIEW","",IF(ABS(M9)&lt;0.000001,0,IF(AND(ISNUMBER(I9),I9&gt;0,ISNUMBER(J9),J9&gt;0,ISNUMBER(K9),K9&gt;0,K9&lt;=TODAY(),OR(X9="OK",X9="MANUAL"),ISNUMBER(Z9),Z9&lt;=TODAY(),TODAY()-Z9&lt;=7,L9&lt;&gt;"",L9&lt;&gt;"",G9&lt;&gt;"",H9&lt;&gt;""),M9*I9*J9,"")))</x:f>
        <x:v>0</x:v>
      </x:c>
      <x:c r="S9" s="18" t="n">
        <x:f>IF(AND(ISNUMBER(R9),ISNUMBER(P9),M9&gt;=0),R9-N9,"")</x:f>
        <x:v>0</x:v>
      </x:c>
      <x:c r="T9" s="22" t="n">
        <x:f>IF(AND(COUNTIF(tblSecurities[Status],"Price refresh needed")+COUNTIF(tblSecurities[Status],"History exception")+COUNTIF(tblSecurities[Status],"Stale price")=0,ISNUMBER(R9),SUM(tblSecurities[MarketValueCAD])&gt;0),R9/SUM(tblSecurities[MarketValueCAD]),"")</x:f>
        <x:v>0</x:v>
      </x:c>
      <x:c r="U9" s="2" t="str">
        <x:f>IF(OR(M9&lt;-0.000001,P9="REVIEW"),"History exception",IF(ABS(M9)&lt;0.000001,"Closed",IF(NOT(ISNUMBER(R9)),"Price refresh needed",IF(TODAY()-K9&gt;7,"Stale price","Current"))))</x:f>
        <x:v>Closed</x:v>
      </x:c>
      <x:c r="V9" s="2" t="str">
        <x:v>BLN.TO</x:v>
      </x:c>
      <x:c r="W9" s="2" t="str">
        <x:v>Blackline</x:v>
      </x:c>
      <x:c r="X9" s="2" t="str">
        <x:v>NOT_REQUIRED</x:v>
      </x:c>
      <x:c r="Y9" s="23" t="str"/>
      <x:c r="Z9" s="16"/>
    </x:row>
    <x:row r="10" ht="21" customHeight="1">
      <x:c r="A10" s="2"/>
      <x:c r="B10" s="2" t="str">
        <x:v>BMO_ORD</x:v>
      </x:c>
      <x:c r="C10" s="2" t="str">
        <x:v>BMO</x:v>
      </x:c>
      <x:c r="D10" s="2" t="str">
        <x:v>Bank of Montreal</x:v>
      </x:c>
      <x:c r="E10" s="2" t="str">
        <x:v>Equity</x:v>
      </x:c>
      <x:c r="F10" s="2" t="str">
        <x:v>Canadian-listed equity</x:v>
      </x:c>
      <x:c r="G10" s="2" t="str">
        <x:v>TSX</x:v>
      </x:c>
      <x:c r="H10" s="2" t="str">
        <x:v>CAD</x:v>
      </x:c>
      <x:c r="I10" s="20"/>
      <x:c r="J10" s="20"/>
      <x:c r="K10" s="21"/>
      <x:c r="L10" s="2" t="str">
        <x:v>Closed position</x:v>
      </x:c>
      <x:c r="M10" s="17" t="n">
        <x:f>SUMIF(tblTransactions[SecurityID],B10,tblTransactions[SignedQty])</x:f>
        <x:v>0</x:v>
      </x:c>
      <x:c r="N10" s="18" t="n">
        <x:f>SUMIF(tblTransactions[SecurityID],B10,tblTransactions[CostChangeCAD])</x:f>
        <x:v>0</x:v>
      </x:c>
      <x:c r="O10" s="18" t="n">
        <x:f>IF(M10&gt;0,N10/M10,0)</x:f>
        <x:v>0</x:v>
      </x:c>
      <x:c r="P10" s="18" t="n">
        <x:f>IF(COUNTIFS(tblTransactions[SecurityID],B10,tblTransactions[LedgerStatus],"REVIEW")&gt;0,"REVIEW",SUMIF(tblTransactions[SecurityID],B10,tblTransactions[RealizedCAD]))</x:f>
        <x:v>1.210000000000008</x:v>
      </x:c>
      <x:c r="Q10" s="18" t="n">
        <x:f>SUMIF(tblTransactions[SecurityID],B10,tblTransactions[DividendCAD])</x:f>
        <x:v>3.1</x:v>
      </x:c>
      <x:c r="R10" s="18" t="n">
        <x:f>IF(P10="REVIEW","",IF(ABS(M10)&lt;0.000001,0,IF(AND(ISNUMBER(I10),I10&gt;0,ISNUMBER(J10),J10&gt;0,ISNUMBER(K10),K10&gt;0,K10&lt;=TODAY(),OR(X10="OK",X10="MANUAL"),ISNUMBER(Z10),Z10&lt;=TODAY(),TODAY()-Z10&lt;=7,L10&lt;&gt;"",L10&lt;&gt;"",G10&lt;&gt;"",H10&lt;&gt;""),M10*I10*J10,"")))</x:f>
        <x:v>0</x:v>
      </x:c>
      <x:c r="S10" s="18" t="n">
        <x:f>IF(AND(ISNUMBER(R10),ISNUMBER(P10),M10&gt;=0),R10-N10,"")</x:f>
        <x:v>0</x:v>
      </x:c>
      <x:c r="T10" s="22" t="n">
        <x:f>IF(AND(COUNTIF(tblSecurities[Status],"Price refresh needed")+COUNTIF(tblSecurities[Status],"History exception")+COUNTIF(tblSecurities[Status],"Stale price")=0,ISNUMBER(R10),SUM(tblSecurities[MarketValueCAD])&gt;0),R10/SUM(tblSecurities[MarketValueCAD]),"")</x:f>
        <x:v>0</x:v>
      </x:c>
      <x:c r="U10" s="2" t="str">
        <x:f>IF(OR(M10&lt;-0.000001,P10="REVIEW"),"History exception",IF(ABS(M10)&lt;0.000001,"Closed",IF(NOT(ISNUMBER(R10)),"Price refresh needed",IF(TODAY()-K10&gt;7,"Stale price","Current"))))</x:f>
        <x:v>Closed</x:v>
      </x:c>
      <x:c r="V10" s="2" t="str">
        <x:v>BMO.TO</x:v>
      </x:c>
      <x:c r="W10" s="2" t="str">
        <x:v>Montreal</x:v>
      </x:c>
      <x:c r="X10" s="2" t="str">
        <x:v>NOT_REQUIRED</x:v>
      </x:c>
      <x:c r="Y10" s="23" t="str"/>
      <x:c r="Z10" s="16"/>
    </x:row>
    <x:row r="11" ht="21" customHeight="1">
      <x:c r="A11" s="2"/>
      <x:c r="B11" s="2" t="str">
        <x:v>BN_ORD</x:v>
      </x:c>
      <x:c r="C11" s="2" t="str">
        <x:v>BN</x:v>
      </x:c>
      <x:c r="D11" s="2" t="str">
        <x:v>Brookfield Corp.</x:v>
      </x:c>
      <x:c r="E11" s="2" t="str">
        <x:v>Equity</x:v>
      </x:c>
      <x:c r="F11" s="2" t="str">
        <x:v>Canadian-listed equity</x:v>
      </x:c>
      <x:c r="G11" s="2" t="str">
        <x:v>TSX</x:v>
      </x:c>
      <x:c r="H11" s="2" t="str">
        <x:v>CAD</x:v>
      </x:c>
      <x:c r="I11" s="20"/>
      <x:c r="J11" s="20"/>
      <x:c r="K11" s="21"/>
      <x:c r="L11" s="2" t="str">
        <x:v>Closed position</x:v>
      </x:c>
      <x:c r="M11" s="17" t="n">
        <x:f>SUMIF(tblTransactions[SecurityID],B11,tblTransactions[SignedQty])</x:f>
        <x:v>0</x:v>
      </x:c>
      <x:c r="N11" s="18" t="n">
        <x:f>SUMIF(tblTransactions[SecurityID],B11,tblTransactions[CostChangeCAD])</x:f>
        <x:v>0</x:v>
      </x:c>
      <x:c r="O11" s="18" t="n">
        <x:f>IF(M11&gt;0,N11/M11,0)</x:f>
        <x:v>0</x:v>
      </x:c>
      <x:c r="P11" s="18" t="n">
        <x:f>IF(COUNTIFS(tblTransactions[SecurityID],B11,tblTransactions[LedgerStatus],"REVIEW")&gt;0,"REVIEW",SUMIF(tblTransactions[SecurityID],B11,tblTransactions[RealizedCAD]))</x:f>
        <x:v>5.799999999999983</x:v>
      </x:c>
      <x:c r="Q11" s="18" t="n">
        <x:f>SUMIF(tblTransactions[SecurityID],B11,tblTransactions[DividendCAD])</x:f>
        <x:v>0</x:v>
      </x:c>
      <x:c r="R11" s="18" t="n">
        <x:f>IF(P11="REVIEW","",IF(ABS(M11)&lt;0.000001,0,IF(AND(ISNUMBER(I11),I11&gt;0,ISNUMBER(J11),J11&gt;0,ISNUMBER(K11),K11&gt;0,K11&lt;=TODAY(),OR(X11="OK",X11="MANUAL"),ISNUMBER(Z11),Z11&lt;=TODAY(),TODAY()-Z11&lt;=7,L11&lt;&gt;"",L11&lt;&gt;"",G11&lt;&gt;"",H11&lt;&gt;""),M11*I11*J11,"")))</x:f>
        <x:v>0</x:v>
      </x:c>
      <x:c r="S11" s="18" t="n">
        <x:f>IF(AND(ISNUMBER(R11),ISNUMBER(P11),M11&gt;=0),R11-N11,"")</x:f>
        <x:v>0</x:v>
      </x:c>
      <x:c r="T11" s="22" t="n">
        <x:f>IF(AND(COUNTIF(tblSecurities[Status],"Price refresh needed")+COUNTIF(tblSecurities[Status],"History exception")+COUNTIF(tblSecurities[Status],"Stale price")=0,ISNUMBER(R11),SUM(tblSecurities[MarketValueCAD])&gt;0),R11/SUM(tblSecurities[MarketValueCAD]),"")</x:f>
        <x:v>0</x:v>
      </x:c>
      <x:c r="U11" s="2" t="str">
        <x:f>IF(OR(M11&lt;-0.000001,P11="REVIEW"),"History exception",IF(ABS(M11)&lt;0.000001,"Closed",IF(NOT(ISNUMBER(R11)),"Price refresh needed",IF(TODAY()-K11&gt;7,"Stale price","Current"))))</x:f>
        <x:v>Closed</x:v>
      </x:c>
      <x:c r="V11" s="2" t="str">
        <x:v>BN.TO</x:v>
      </x:c>
      <x:c r="W11" s="2" t="str">
        <x:v>Brookfield</x:v>
      </x:c>
      <x:c r="X11" s="2" t="str">
        <x:v>NOT_REQUIRED</x:v>
      </x:c>
      <x:c r="Y11" s="23" t="str"/>
      <x:c r="Z11" s="16"/>
    </x:row>
    <x:row r="12" ht="21" customHeight="1">
      <x:c r="A12" s="2"/>
      <x:c r="B12" s="2" t="str">
        <x:v>CASH_ORD</x:v>
      </x:c>
      <x:c r="C12" s="2" t="str">
        <x:v>CASH</x:v>
      </x:c>
      <x:c r="D12" s="2" t="str">
        <x:v>Global X High Interest Savings ETF</x:v>
      </x:c>
      <x:c r="E12" s="2" t="str">
        <x:v>ETF</x:v>
      </x:c>
      <x:c r="F12" s="2" t="str">
        <x:v>Exchange-traded fund</x:v>
      </x:c>
      <x:c r="G12" s="2" t="str">
        <x:v>TSX</x:v>
      </x:c>
      <x:c r="H12" s="2" t="str">
        <x:v>CAD</x:v>
      </x:c>
      <x:c r="I12" s="20"/>
      <x:c r="J12" s="20"/>
      <x:c r="K12" s="21"/>
      <x:c r="L12" s="2" t="str">
        <x:v>Closed position</x:v>
      </x:c>
      <x:c r="M12" s="17" t="n">
        <x:f>SUMIF(tblTransactions[SecurityID],B12,tblTransactions[SignedQty])</x:f>
        <x:v>-1.457167719820518e-16</x:v>
      </x:c>
      <x:c r="N12" s="18" t="n">
        <x:f>SUMIF(tblTransactions[SecurityID],B12,tblTransactions[CostChangeCAD])</x:f>
        <x:v>-7.327471962526033e-15</x:v>
      </x:c>
      <x:c r="O12" s="18" t="n">
        <x:f>IF(M12&gt;0,N12/M12,0)</x:f>
        <x:v>0</x:v>
      </x:c>
      <x:c r="P12" s="18" t="n">
        <x:f>IF(COUNTIFS(tblTransactions[SecurityID],B12,tblTransactions[LedgerStatus],"REVIEW")&gt;0,"REVIEW",SUMIF(tblTransactions[SecurityID],B12,tblTransactions[RealizedCAD]))</x:f>
        <x:v>2.1899999999999835</x:v>
      </x:c>
      <x:c r="Q12" s="18" t="n">
        <x:f>SUMIF(tblTransactions[SecurityID],B12,tblTransactions[DividendCAD])</x:f>
        <x:v>4.65</x:v>
      </x:c>
      <x:c r="R12" s="18" t="n">
        <x:f>IF(P12="REVIEW","",IF(ABS(M12)&lt;0.000001,0,IF(AND(ISNUMBER(I12),I12&gt;0,ISNUMBER(J12),J12&gt;0,ISNUMBER(K12),K12&gt;0,K12&lt;=TODAY(),OR(X12="OK",X12="MANUAL"),ISNUMBER(Z12),Z12&lt;=TODAY(),TODAY()-Z12&lt;=7,L12&lt;&gt;"",L12&lt;&gt;"",G12&lt;&gt;"",H12&lt;&gt;""),M12*I12*J12,"")))</x:f>
        <x:v>0</x:v>
      </x:c>
      <x:c r="S12" s="18" t="n">
        <x:f>IF(AND(ISNUMBER(R12),ISNUMBER(P12),M12&gt;=0),R12-N12,"")</x:f>
        <x:v>7.327471962526033e-15</x:v>
      </x:c>
      <x:c r="T12" s="22" t="n">
        <x:f>IF(AND(COUNTIF(tblSecurities[Status],"Price refresh needed")+COUNTIF(tblSecurities[Status],"History exception")+COUNTIF(tblSecurities[Status],"Stale price")=0,ISNUMBER(R12),SUM(tblSecurities[MarketValueCAD])&gt;0),R12/SUM(tblSecurities[MarketValueCAD]),"")</x:f>
        <x:v>0</x:v>
      </x:c>
      <x:c r="U12" s="2" t="str">
        <x:f>IF(OR(M12&lt;-0.000001,P12="REVIEW"),"History exception",IF(ABS(M12)&lt;0.000001,"Closed",IF(NOT(ISNUMBER(R12)),"Price refresh needed",IF(TODAY()-K12&gt;7,"Stale price","Current"))))</x:f>
        <x:v>Closed</x:v>
      </x:c>
      <x:c r="V12" s="2" t="str">
        <x:v>CASH.TO</x:v>
      </x:c>
      <x:c r="W12" s="2" t="str">
        <x:v>Interest</x:v>
      </x:c>
      <x:c r="X12" s="2" t="str">
        <x:v>NOT_REQUIRED</x:v>
      </x:c>
      <x:c r="Y12" s="23" t="str"/>
      <x:c r="Z12" s="16"/>
    </x:row>
    <x:row r="13" ht="21" customHeight="1">
      <x:c r="A13" s="2"/>
      <x:c r="B13" s="2" t="str">
        <x:v>CJP_ORD</x:v>
      </x:c>
      <x:c r="C13" s="2" t="str">
        <x:v>CJP</x:v>
      </x:c>
      <x:c r="D13" s="2" t="str">
        <x:v>BlackRock iShares Japan Fundamental Index ETF CAD-Hedged</x:v>
      </x:c>
      <x:c r="E13" s="2" t="str">
        <x:v>ETF</x:v>
      </x:c>
      <x:c r="F13" s="2" t="str">
        <x:v>Exchange-traded fund</x:v>
      </x:c>
      <x:c r="G13" s="2" t="str">
        <x:v>TSX</x:v>
      </x:c>
      <x:c r="H13" s="2" t="str">
        <x:v>CAD</x:v>
      </x:c>
      <x:c r="I13" s="20"/>
      <x:c r="J13" s="20"/>
      <x:c r="K13" s="21"/>
      <x:c r="L13" s="2" t="str">
        <x:v>Closed position</x:v>
      </x:c>
      <x:c r="M13" s="17" t="n">
        <x:f>SUMIF(tblTransactions[SecurityID],B13,tblTransactions[SignedQty])</x:f>
        <x:v>0</x:v>
      </x:c>
      <x:c r="N13" s="18" t="n">
        <x:f>SUMIF(tblTransactions[SecurityID],B13,tblTransactions[CostChangeCAD])</x:f>
        <x:v>0</x:v>
      </x:c>
      <x:c r="O13" s="18" t="n">
        <x:f>IF(M13&gt;0,N13/M13,0)</x:f>
        <x:v>0</x:v>
      </x:c>
      <x:c r="P13" s="18" t="n">
        <x:f>IF(COUNTIFS(tblTransactions[SecurityID],B13,tblTransactions[LedgerStatus],"REVIEW")&gt;0,"REVIEW",SUMIF(tblTransactions[SecurityID],B13,tblTransactions[RealizedCAD]))</x:f>
        <x:v>-2.599999999999998</x:v>
      </x:c>
      <x:c r="Q13" s="18" t="n">
        <x:f>SUMIF(tblTransactions[SecurityID],B13,tblTransactions[DividendCAD])</x:f>
        <x:v>0</x:v>
      </x:c>
      <x:c r="R13" s="18" t="n">
        <x:f>IF(P13="REVIEW","",IF(ABS(M13)&lt;0.000001,0,IF(AND(ISNUMBER(I13),I13&gt;0,ISNUMBER(J13),J13&gt;0,ISNUMBER(K13),K13&gt;0,K13&lt;=TODAY(),OR(X13="OK",X13="MANUAL"),ISNUMBER(Z13),Z13&lt;=TODAY(),TODAY()-Z13&lt;=7,L13&lt;&gt;"",L13&lt;&gt;"",G13&lt;&gt;"",H13&lt;&gt;""),M13*I13*J13,"")))</x:f>
        <x:v>0</x:v>
      </x:c>
      <x:c r="S13" s="18" t="n">
        <x:f>IF(AND(ISNUMBER(R13),ISNUMBER(P13),M13&gt;=0),R13-N13,"")</x:f>
        <x:v>0</x:v>
      </x:c>
      <x:c r="T13" s="22" t="n">
        <x:f>IF(AND(COUNTIF(tblSecurities[Status],"Price refresh needed")+COUNTIF(tblSecurities[Status],"History exception")+COUNTIF(tblSecurities[Status],"Stale price")=0,ISNUMBER(R13),SUM(tblSecurities[MarketValueCAD])&gt;0),R13/SUM(tblSecurities[MarketValueCAD]),"")</x:f>
        <x:v>0</x:v>
      </x:c>
      <x:c r="U13" s="2" t="str">
        <x:f>IF(OR(M13&lt;-0.000001,P13="REVIEW"),"History exception",IF(ABS(M13)&lt;0.000001,"Closed",IF(NOT(ISNUMBER(R13)),"Price refresh needed",IF(TODAY()-K13&gt;7,"Stale price","Current"))))</x:f>
        <x:v>Closed</x:v>
      </x:c>
      <x:c r="V13" s="2" t="str">
        <x:v>CJP.TO</x:v>
      </x:c>
      <x:c r="W13" s="2" t="str">
        <x:v>Japan</x:v>
      </x:c>
      <x:c r="X13" s="2" t="str">
        <x:v>NOT_REQUIRED</x:v>
      </x:c>
      <x:c r="Y13" s="23" t="str"/>
      <x:c r="Z13" s="16"/>
    </x:row>
    <x:row r="14" ht="21" customHeight="1">
      <x:c r="A14" s="2"/>
      <x:c r="B14" s="2" t="str">
        <x:v>CPX_ORD</x:v>
      </x:c>
      <x:c r="C14" s="2" t="str">
        <x:v>CPX</x:v>
      </x:c>
      <x:c r="D14" s="2" t="str">
        <x:v>Capital Power</x:v>
      </x:c>
      <x:c r="E14" s="2" t="str">
        <x:v>Equity</x:v>
      </x:c>
      <x:c r="F14" s="2" t="str">
        <x:v>Canadian-listed equity</x:v>
      </x:c>
      <x:c r="G14" s="2" t="str">
        <x:v>TSX</x:v>
      </x:c>
      <x:c r="H14" s="2" t="str">
        <x:v>CAD</x:v>
      </x:c>
      <x:c r="I14" s="20" t="n">
        <x:v>63.44</x:v>
      </x:c>
      <x:c r="J14" s="20" t="n">
        <x:v>1</x:v>
      </x:c>
      <x:c r="K14" s="21" t="d">
        <x:v>2026-10-29T00:00:00.000Z</x:v>
      </x:c>
      <x:c r="L14" s="2" t="str">
        <x:v>https://finance.yahoo.com/quote/CPX.TO/</x:v>
      </x:c>
      <x:c r="M14" s="17" t="n">
        <x:f>SUMIF(tblTransactions[SecurityID],B14,tblTransactions[SignedQty])</x:f>
        <x:v>2</x:v>
      </x:c>
      <x:c r="N14" s="18" t="n">
        <x:f>SUMIF(tblTransactions[SecurityID],B14,tblTransactions[CostChangeCAD])</x:f>
        <x:v>120.76</x:v>
      </x:c>
      <x:c r="O14" s="18" t="n">
        <x:f>IF(M14&gt;0,N14/M14,0)</x:f>
        <x:v>60.38</x:v>
      </x:c>
      <x:c r="P14" s="18" t="n">
        <x:f>IF(COUNTIFS(tblTransactions[SecurityID],B14,tblTransactions[LedgerStatus],"REVIEW")&gt;0,"REVIEW",SUMIF(tblTransactions[SecurityID],B14,tblTransactions[RealizedCAD]))</x:f>
        <x:v>-55.370000000000005</x:v>
      </x:c>
      <x:c r="Q14" s="18" t="n">
        <x:f>SUMIF(tblTransactions[SecurityID],B14,tblTransactions[DividendCAD])</x:f>
        <x:v>6.6</x:v>
      </x:c>
      <x:c r="R14" s="18" t="n">
        <x:f>IF(P14="REVIEW","",IF(ABS(M14)&lt;0.000001,0,IF(AND(ISNUMBER(I14),I14&gt;0,ISNUMBER(J14),J14&gt;0,ISNUMBER(K14),K14&gt;0,K14&lt;=TODAY(),OR(X14="OK",X14="MANUAL"),ISNUMBER(Z14),Z14&lt;=TODAY(),TODAY()-Z14&lt;=7,L14&lt;&gt;"",L14&lt;&gt;"",G14&lt;&gt;"",H14&lt;&gt;""),M14*I14*J14,"")))</x:f>
        <x:v>126.88</x:v>
      </x:c>
      <x:c r="S14" s="18" t="n">
        <x:f>IF(AND(ISNUMBER(R14),ISNUMBER(P14),M14&gt;=0),R14-N14,"")</x:f>
        <x:v>6.11999999999999</x:v>
      </x:c>
      <x:c r="T14" s="22" t="n">
        <x:f>IF(AND(COUNTIF(tblSecurities[Status],"Price refresh needed")+COUNTIF(tblSecurities[Status],"History exception")+COUNTIF(tblSecurities[Status],"Stale price")=0,ISNUMBER(R14),SUM(tblSecurities[MarketValueCAD])&gt;0),R14/SUM(tblSecurities[MarketValueCAD]),"")</x:f>
        <x:v>0.004923281575520195</x:v>
      </x:c>
      <x:c r="U14" s="2" t="str">
        <x:f>IF(OR(M14&lt;-0.000001,P14="REVIEW"),"History exception",IF(ABS(M14)&lt;0.000001,"Closed",IF(NOT(ISNUMBER(R14)),"Price refresh needed",IF(TODAY()-K14&gt;7,"Stale price","Current"))))</x:f>
        <x:v>Current</x:v>
      </x:c>
      <x:c r="V14" s="2" t="str">
        <x:v>CPX.TO</x:v>
      </x:c>
      <x:c r="W14" s="2" t="str">
        <x:v>Capital Power</x:v>
      </x:c>
      <x:c r="X14" s="2" t="str">
        <x:v>OK</x:v>
      </x:c>
      <x:c r="Y14" s="23" t="d">
        <x:v>2026-10-29T20:00:01.000Z</x:v>
      </x:c>
      <x:c r="Z14" s="16" t="d">
        <x:v>2026-10-29T00:00:00.000Z</x:v>
      </x:c>
    </x:row>
    <x:row r="15" ht="21" customHeight="1">
      <x:c r="A15" s="2"/>
      <x:c r="B15" s="2" t="str">
        <x:v>ENB_ORD</x:v>
      </x:c>
      <x:c r="C15" s="2" t="str">
        <x:v>ENB</x:v>
      </x:c>
      <x:c r="D15" s="2" t="str">
        <x:v>Enbridge</x:v>
      </x:c>
      <x:c r="E15" s="2" t="str">
        <x:v>Equity</x:v>
      </x:c>
      <x:c r="F15" s="2" t="str">
        <x:v>Canadian-listed equity</x:v>
      </x:c>
      <x:c r="G15" s="2" t="str">
        <x:v>TSX</x:v>
      </x:c>
      <x:c r="H15" s="2" t="str">
        <x:v>CAD</x:v>
      </x:c>
      <x:c r="I15" s="20" t="n">
        <x:v>68.9</x:v>
      </x:c>
      <x:c r="J15" s="20" t="n">
        <x:v>1</x:v>
      </x:c>
      <x:c r="K15" s="21" t="d">
        <x:v>2026-10-29T00:00:00.000Z</x:v>
      </x:c>
      <x:c r="L15" s="2" t="str">
        <x:v>https://finance.yahoo.com/quote/ENB.TO/</x:v>
      </x:c>
      <x:c r="M15" s="17" t="n">
        <x:f>SUMIF(tblTransactions[SecurityID],B15,tblTransactions[SignedQty])</x:f>
        <x:v>1</x:v>
      </x:c>
      <x:c r="N15" s="18" t="n">
        <x:f>SUMIF(tblTransactions[SecurityID],B15,tblTransactions[CostChangeCAD])</x:f>
        <x:v>66.78</x:v>
      </x:c>
      <x:c r="O15" s="18" t="n">
        <x:f>IF(M15&gt;0,N15/M15,0)</x:f>
        <x:v>66.78</x:v>
      </x:c>
      <x:c r="P15" s="18" t="n">
        <x:f>IF(COUNTIFS(tblTransactions[SecurityID],B15,tblTransactions[LedgerStatus],"REVIEW")&gt;0,"REVIEW",SUMIF(tblTransactions[SecurityID],B15,tblTransactions[RealizedCAD]))</x:f>
        <x:v>21.69999999999996</x:v>
      </x:c>
      <x:c r="Q15" s="18" t="n">
        <x:f>SUMIF(tblTransactions[SecurityID],B15,tblTransactions[DividendCAD])</x:f>
        <x:v>5.49</x:v>
      </x:c>
      <x:c r="R15" s="18" t="n">
        <x:f>IF(P15="REVIEW","",IF(ABS(M15)&lt;0.000001,0,IF(AND(ISNUMBER(I15),I15&gt;0,ISNUMBER(J15),J15&gt;0,ISNUMBER(K15),K15&gt;0,K15&lt;=TODAY(),OR(X15="OK",X15="MANUAL"),ISNUMBER(Z15),Z15&lt;=TODAY(),TODAY()-Z15&lt;=7,L15&lt;&gt;"",L15&lt;&gt;"",G15&lt;&gt;"",H15&lt;&gt;""),M15*I15*J15,"")))</x:f>
        <x:v>68.9</x:v>
      </x:c>
      <x:c r="S15" s="18" t="n">
        <x:f>IF(AND(ISNUMBER(R15),ISNUMBER(P15),M15&gt;=0),R15-N15,"")</x:f>
        <x:v>2.1200000000000045</x:v>
      </x:c>
      <x:c r="T15" s="22" t="n">
        <x:f>IF(AND(COUNTIF(tblSecurities[Status],"Price refresh needed")+COUNTIF(tblSecurities[Status],"History exception")+COUNTIF(tblSecurities[Status],"Stale price")=0,ISNUMBER(R15),SUM(tblSecurities[MarketValueCAD])&gt;0),R15/SUM(tblSecurities[MarketValueCAD]),"")</x:f>
        <x:v>0.0026735033145755156</x:v>
      </x:c>
      <x:c r="U15" s="2" t="str">
        <x:f>IF(OR(M15&lt;-0.000001,P15="REVIEW"),"History exception",IF(ABS(M15)&lt;0.000001,"Closed",IF(NOT(ISNUMBER(R15)),"Price refresh needed",IF(TODAY()-K15&gt;7,"Stale price","Current"))))</x:f>
        <x:v>Current</x:v>
      </x:c>
      <x:c r="V15" s="2" t="str">
        <x:v>ENB.TO</x:v>
      </x:c>
      <x:c r="W15" s="2" t="str">
        <x:v>Enbridge</x:v>
      </x:c>
      <x:c r="X15" s="2" t="str">
        <x:v>OK</x:v>
      </x:c>
      <x:c r="Y15" s="23" t="d">
        <x:v>2026-10-29T20:00:00.000Z</x:v>
      </x:c>
      <x:c r="Z15" s="16" t="d">
        <x:v>2026-10-29T00:00:00.000Z</x:v>
      </x:c>
    </x:row>
    <x:row r="16" ht="21" customHeight="1">
      <x:c r="A16" s="2"/>
      <x:c r="B16" s="2" t="str">
        <x:v>FINN_ORD</x:v>
      </x:c>
      <x:c r="C16" s="2" t="str">
        <x:v>FINN</x:v>
      </x:c>
      <x:c r="D16" s="2" t="str">
        <x:v>Fidelity Global Innovators ETF</x:v>
      </x:c>
      <x:c r="E16" s="2" t="str">
        <x:v>ETF</x:v>
      </x:c>
      <x:c r="F16" s="2" t="str">
        <x:v>Exchange-traded fund</x:v>
      </x:c>
      <x:c r="G16" s="2" t="str">
        <x:v>Cboe Canada</x:v>
      </x:c>
      <x:c r="H16" s="2" t="str">
        <x:v>CAD</x:v>
      </x:c>
      <x:c r="I16" s="20" t="n">
        <x:v>33.32</x:v>
      </x:c>
      <x:c r="J16" s="20" t="n">
        <x:v>1</x:v>
      </x:c>
      <x:c r="K16" s="21" t="d">
        <x:v>2026-10-29T00:00:00.000Z</x:v>
      </x:c>
      <x:c r="L16" s="2" t="str">
        <x:v>https://finance.yahoo.com/quote/FINN.NE/</x:v>
      </x:c>
      <x:c r="M16" s="17" t="n">
        <x:f>SUMIF(tblTransactions[SecurityID],B16,tblTransactions[SignedQty])</x:f>
        <x:v>56</x:v>
      </x:c>
      <x:c r="N16" s="18" t="n">
        <x:f>SUMIF(tblTransactions[SecurityID],B16,tblTransactions[CostChangeCAD])</x:f>
        <x:v>1073.78</x:v>
      </x:c>
      <x:c r="O16" s="18" t="n">
        <x:f>IF(M16&gt;0,N16/M16,0)</x:f>
        <x:v>19.174642857142857</x:v>
      </x:c>
      <x:c r="P16" s="18" t="n">
        <x:f>IF(COUNTIFS(tblTransactions[SecurityID],B16,tblTransactions[LedgerStatus],"REVIEW")&gt;0,"REVIEW",SUMIF(tblTransactions[SecurityID],B16,tblTransactions[RealizedCAD]))</x:f>
        <x:v>-50.90000000000009</x:v>
      </x:c>
      <x:c r="Q16" s="18" t="n">
        <x:f>SUMIF(tblTransactions[SecurityID],B16,tblTransactions[DividendCAD])</x:f>
        <x:v>0</x:v>
      </x:c>
      <x:c r="R16" s="18" t="n">
        <x:f>IF(P16="REVIEW","",IF(ABS(M16)&lt;0.000001,0,IF(AND(ISNUMBER(I16),I16&gt;0,ISNUMBER(J16),J16&gt;0,ISNUMBER(K16),K16&gt;0,K16&lt;=TODAY(),OR(X16="OK",X16="MANUAL"),ISNUMBER(Z16),Z16&lt;=TODAY(),TODAY()-Z16&lt;=7,L16&lt;&gt;"",L16&lt;&gt;"",G16&lt;&gt;"",H16&lt;&gt;""),M16*I16*J16,"")))</x:f>
        <x:v>1865.92</x:v>
      </x:c>
      <x:c r="S16" s="18" t="n">
        <x:f>IF(AND(ISNUMBER(R16),ISNUMBER(P16),M16&gt;=0),R16-N16,"")</x:f>
        <x:v>792.1400000000001</x:v>
      </x:c>
      <x:c r="T16" s="22" t="n">
        <x:f>IF(AND(COUNTIF(tblSecurities[Status],"Price refresh needed")+COUNTIF(tblSecurities[Status],"History exception")+COUNTIF(tblSecurities[Status],"Stale price")=0,ISNUMBER(R16),SUM(tblSecurities[MarketValueCAD])&gt;0),R16/SUM(tblSecurities[MarketValueCAD]),"")</x:f>
        <x:v>0.07240266044604857</x:v>
      </x:c>
      <x:c r="U16" s="2" t="str">
        <x:f>IF(OR(M16&lt;-0.000001,P16="REVIEW"),"History exception",IF(ABS(M16)&lt;0.000001,"Closed",IF(NOT(ISNUMBER(R16)),"Price refresh needed",IF(TODAY()-K16&gt;7,"Stale price","Current"))))</x:f>
        <x:v>Current</x:v>
      </x:c>
      <x:c r="V16" s="2" t="str">
        <x:v>FINN.NE</x:v>
      </x:c>
      <x:c r="W16" s="2" t="str">
        <x:v>Fidelity</x:v>
      </x:c>
      <x:c r="X16" s="2" t="str">
        <x:v>OK</x:v>
      </x:c>
      <x:c r="Y16" s="23" t="d">
        <x:v>2026-10-29T19:59:41.000Z</x:v>
      </x:c>
      <x:c r="Z16" s="16" t="d">
        <x:v>2026-10-29T00:00:00.000Z</x:v>
      </x:c>
    </x:row>
    <x:row r="17" ht="21" customHeight="1">
      <x:c r="A17" s="2"/>
      <x:c r="B17" s="2" t="str">
        <x:v>GOOG_CDR</x:v>
      </x:c>
      <x:c r="C17" s="2" t="str">
        <x:v>GOOG</x:v>
      </x:c>
      <x:c r="D17" s="2" t="str">
        <x:v>Alphabet CDR</x:v>
      </x:c>
      <x:c r="E17" s="2" t="str">
        <x:v>CDR</x:v>
      </x:c>
      <x:c r="F17" s="2" t="str">
        <x:v>CAD hedged CDR</x:v>
      </x:c>
      <x:c r="G17" s="2" t="str">
        <x:v>TSX</x:v>
      </x:c>
      <x:c r="H17" s="2" t="str">
        <x:v>CAD</x:v>
      </x:c>
      <x:c r="I17" s="20"/>
      <x:c r="J17" s="20"/>
      <x:c r="K17" s="21"/>
      <x:c r="L17" s="2" t="str">
        <x:v>Closed position</x:v>
      </x:c>
      <x:c r="M17" s="17" t="n">
        <x:f>SUMIF(tblTransactions[SecurityID],B17,tblTransactions[SignedQty])</x:f>
        <x:v>0</x:v>
      </x:c>
      <x:c r="N17" s="18" t="n">
        <x:f>SUMIF(tblTransactions[SecurityID],B17,tblTransactions[CostChangeCAD])</x:f>
        <x:v>0</x:v>
      </x:c>
      <x:c r="O17" s="18" t="n">
        <x:f>IF(M17&gt;0,N17/M17,0)</x:f>
        <x:v>0</x:v>
      </x:c>
      <x:c r="P17" s="18" t="n">
        <x:f>IF(COUNTIFS(tblTransactions[SecurityID],B17,tblTransactions[LedgerStatus],"REVIEW")&gt;0,"REVIEW",SUMIF(tblTransactions[SecurityID],B17,tblTransactions[RealizedCAD]))</x:f>
        <x:v>1.5</x:v>
      </x:c>
      <x:c r="Q17" s="18" t="n">
        <x:f>SUMIF(tblTransactions[SecurityID],B17,tblTransactions[DividendCAD])</x:f>
        <x:v>0</x:v>
      </x:c>
      <x:c r="R17" s="18" t="n">
        <x:f>IF(P17="REVIEW","",IF(ABS(M17)&lt;0.000001,0,IF(AND(ISNUMBER(I17),I17&gt;0,ISNUMBER(J17),J17&gt;0,ISNUMBER(K17),K17&gt;0,K17&lt;=TODAY(),OR(X17="OK",X17="MANUAL"),ISNUMBER(Z17),Z17&lt;=TODAY(),TODAY()-Z17&lt;=7,L17&lt;&gt;"",L17&lt;&gt;"",G17&lt;&gt;"",H17&lt;&gt;""),M17*I17*J17,"")))</x:f>
        <x:v>0</x:v>
      </x:c>
      <x:c r="S17" s="18" t="n">
        <x:f>IF(AND(ISNUMBER(R17),ISNUMBER(P17),M17&gt;=0),R17-N17,"")</x:f>
        <x:v>0</x:v>
      </x:c>
      <x:c r="T17" s="22" t="n">
        <x:f>IF(AND(COUNTIF(tblSecurities[Status],"Price refresh needed")+COUNTIF(tblSecurities[Status],"History exception")+COUNTIF(tblSecurities[Status],"Stale price")=0,ISNUMBER(R17),SUM(tblSecurities[MarketValueCAD])&gt;0),R17/SUM(tblSecurities[MarketValueCAD]),"")</x:f>
        <x:v>0</x:v>
      </x:c>
      <x:c r="U17" s="2" t="str">
        <x:f>IF(OR(M17&lt;-0.000001,P17="REVIEW"),"History exception",IF(ABS(M17)&lt;0.000001,"Closed",IF(NOT(ISNUMBER(R17)),"Price refresh needed",IF(TODAY()-K17&gt;7,"Stale price","Current"))))</x:f>
        <x:v>Closed</x:v>
      </x:c>
      <x:c r="V17" s="2" t="str">
        <x:v>GOOG.TO;GOOG.NE</x:v>
      </x:c>
      <x:c r="W17" s="2" t="str">
        <x:v>Alphabet</x:v>
      </x:c>
      <x:c r="X17" s="2" t="str">
        <x:v>NOT_REQUIRED</x:v>
      </x:c>
      <x:c r="Y17" s="23" t="str"/>
      <x:c r="Z17" s="16"/>
    </x:row>
    <x:row r="18" ht="21" customHeight="1">
      <x:c r="A18" s="2"/>
      <x:c r="B18" s="2" t="str">
        <x:v>NVDA_CDR</x:v>
      </x:c>
      <x:c r="C18" s="2" t="str">
        <x:v>NVDA</x:v>
      </x:c>
      <x:c r="D18" s="2" t="str">
        <x:v>NVIDIA CDR</x:v>
      </x:c>
      <x:c r="E18" s="2" t="str">
        <x:v>CDR</x:v>
      </x:c>
      <x:c r="F18" s="2" t="str">
        <x:v>CAD hedged CDR</x:v>
      </x:c>
      <x:c r="G18" s="2" t="str">
        <x:v>TSX</x:v>
      </x:c>
      <x:c r="H18" s="2" t="str">
        <x:v>CAD</x:v>
      </x:c>
      <x:c r="I18" s="20" t="n">
        <x:v>47.5</x:v>
      </x:c>
      <x:c r="J18" s="20" t="n">
        <x:v>1</x:v>
      </x:c>
      <x:c r="K18" s="21" t="d">
        <x:v>2026-10-29T00:00:00.000Z</x:v>
      </x:c>
      <x:c r="L18" s="2" t="str">
        <x:v>https://finance.yahoo.com/quote/NVDA.TO/</x:v>
      </x:c>
      <x:c r="M18" s="17" t="n">
        <x:f>SUMIF(tblTransactions[SecurityID],B18,tblTransactions[SignedQty])</x:f>
        <x:v>12.001700000000001</x:v>
      </x:c>
      <x:c r="N18" s="18" t="n">
        <x:f>SUMIF(tblTransactions[SecurityID],B18,tblTransactions[CostChangeCAD])</x:f>
        <x:v>374.7099999999999</x:v>
      </x:c>
      <x:c r="O18" s="18" t="n">
        <x:f>IF(M18&gt;0,N18/M18,0)</x:f>
        <x:v>31.22141030020746</x:v>
      </x:c>
      <x:c r="P18" s="18" t="n">
        <x:f>IF(COUNTIFS(tblTransactions[SecurityID],B18,tblTransactions[LedgerStatus],"REVIEW")&gt;0,"REVIEW",SUMIF(tblTransactions[SecurityID],B18,tblTransactions[RealizedCAD]))</x:f>
        <x:v>-9.910000000000025</x:v>
      </x:c>
      <x:c r="Q18" s="18" t="n">
        <x:f>SUMIF(tblTransactions[SecurityID],B18,tblTransactions[DividendCAD])</x:f>
        <x:v>0.1</x:v>
      </x:c>
      <x:c r="R18" s="18" t="n">
        <x:f>IF(P18="REVIEW","",IF(ABS(M18)&lt;0.000001,0,IF(AND(ISNUMBER(I18),I18&gt;0,ISNUMBER(J18),J18&gt;0,ISNUMBER(K18),K18&gt;0,K18&lt;=TODAY(),OR(X18="OK",X18="MANUAL"),ISNUMBER(Z18),Z18&lt;=TODAY(),TODAY()-Z18&lt;=7,L18&lt;&gt;"",L18&lt;&gt;"",G18&lt;&gt;"",H18&lt;&gt;""),M18*I18*J18,"")))</x:f>
        <x:v>570.0807500000001</x:v>
      </x:c>
      <x:c r="S18" s="18" t="n">
        <x:f>IF(AND(ISNUMBER(R18),ISNUMBER(P18),M18&gt;=0),R18-N18,"")</x:f>
        <x:v>195.37075000000016</x:v>
      </x:c>
      <x:c r="T18" s="22" t="n">
        <x:f>IF(AND(COUNTIF(tblSecurities[Status],"Price refresh needed")+COUNTIF(tblSecurities[Status],"History exception")+COUNTIF(tblSecurities[Status],"Stale price")=0,ISNUMBER(R18),SUM(tblSecurities[MarketValueCAD])&gt;0),R18/SUM(tblSecurities[MarketValueCAD]),"")</x:f>
        <x:v>0.022120649850518086</x:v>
      </x:c>
      <x:c r="U18" s="2" t="str">
        <x:f>IF(OR(M18&lt;-0.000001,P18="REVIEW"),"History exception",IF(ABS(M18)&lt;0.000001,"Closed",IF(NOT(ISNUMBER(R18)),"Price refresh needed",IF(TODAY()-K18&gt;7,"Stale price","Current"))))</x:f>
        <x:v>Current</x:v>
      </x:c>
      <x:c r="V18" s="2" t="str">
        <x:v>NVDA.TO;NVDA.NE</x:v>
      </x:c>
      <x:c r="W18" s="2" t="str">
        <x:v>NVIDIA</x:v>
      </x:c>
      <x:c r="X18" s="2" t="str">
        <x:v>OK</x:v>
      </x:c>
      <x:c r="Y18" s="23" t="d">
        <x:v>2026-10-29T19:59:59.000Z</x:v>
      </x:c>
      <x:c r="Z18" s="16" t="d">
        <x:v>2026-10-29T00:00:00.000Z</x:v>
      </x:c>
    </x:row>
    <x:row r="19" ht="21" customHeight="1">
      <x:c r="A19" s="2"/>
      <x:c r="B19" s="2" t="str">
        <x:v>OKLO_ORD</x:v>
      </x:c>
      <x:c r="C19" s="2" t="str">
        <x:v>OKLO</x:v>
      </x:c>
      <x:c r="D19" s="2" t="str">
        <x:v>Oklo</x:v>
      </x:c>
      <x:c r="E19" s="2" t="str">
        <x:v>Equity</x:v>
      </x:c>
      <x:c r="F19" s="2" t="str">
        <x:v>US-listed equity</x:v>
      </x:c>
      <x:c r="G19" s="2" t="str">
        <x:v>NYSE</x:v>
      </x:c>
      <x:c r="H19" s="2" t="str">
        <x:v>USD</x:v>
      </x:c>
      <x:c r="I19" s="20" t="n">
        <x:v>26.81</x:v>
      </x:c>
      <x:c r="J19" s="20" t="n">
        <x:v>1.3989</x:v>
      </x:c>
      <x:c r="K19" s="21" t="d">
        <x:v>2026-10-29T00:00:00.000Z</x:v>
      </x:c>
      <x:c r="L19" s="2" t="str">
        <x:v>https://finance.yahoo.com/quote/OKLO/</x:v>
      </x:c>
      <x:c r="M19" s="17" t="n">
        <x:f>SUMIF(tblTransactions[SecurityID],B19,tblTransactions[SignedQty])</x:f>
        <x:v>1</x:v>
      </x:c>
      <x:c r="N19" s="18" t="n">
        <x:f>SUMIF(tblTransactions[SecurityID],B19,tblTransactions[CostChangeCAD])</x:f>
        <x:v>79.21</x:v>
      </x:c>
      <x:c r="O19" s="18" t="n">
        <x:f>IF(M19&gt;0,N19/M19,0)</x:f>
        <x:v>79.21</x:v>
      </x:c>
      <x:c r="P19" s="18" t="n">
        <x:f>IF(COUNTIFS(tblTransactions[SecurityID],B19,tblTransactions[LedgerStatus],"REVIEW")&gt;0,"REVIEW",SUMIF(tblTransactions[SecurityID],B19,tblTransactions[RealizedCAD]))</x:f>
        <x:v>0</x:v>
      </x:c>
      <x:c r="Q19" s="18" t="n">
        <x:f>SUMIF(tblTransactions[SecurityID],B19,tblTransactions[DividendCAD])</x:f>
        <x:v>0</x:v>
      </x:c>
      <x:c r="R19" s="18" t="n">
        <x:f>IF(P19="REVIEW","",IF(ABS(M19)&lt;0.000001,0,IF(AND(ISNUMBER(I19),I19&gt;0,ISNUMBER(J19),J19&gt;0,ISNUMBER(K19),K19&gt;0,K19&lt;=TODAY(),OR(X19="OK",X19="MANUAL"),ISNUMBER(Z19),Z19&lt;=TODAY(),TODAY()-Z19&lt;=7,L19&lt;&gt;"",L19&lt;&gt;"",G19&lt;&gt;"",H19&lt;&gt;""),M19*I19*J19,"")))</x:f>
        <x:v>37.504509</x:v>
      </x:c>
      <x:c r="S19" s="18" t="n">
        <x:f>IF(AND(ISNUMBER(R19),ISNUMBER(P19),M19&gt;=0),R19-N19,"")</x:f>
        <x:v>-41.705490999999995</x:v>
      </x:c>
      <x:c r="T19" s="22" t="n">
        <x:f>IF(AND(COUNTIF(tblSecurities[Status],"Price refresh needed")+COUNTIF(tblSecurities[Status],"History exception")+COUNTIF(tblSecurities[Status],"Stale price")=0,ISNUMBER(R19),SUM(tblSecurities[MarketValueCAD])&gt;0),R19/SUM(tblSecurities[MarketValueCAD]),"")</x:f>
        <x:v>0.0014552747332805117</x:v>
      </x:c>
      <x:c r="U19" s="2" t="str">
        <x:f>IF(OR(M19&lt;-0.000001,P19="REVIEW"),"History exception",IF(ABS(M19)&lt;0.000001,"Closed",IF(NOT(ISNUMBER(R19)),"Price refresh needed",IF(TODAY()-K19&gt;7,"Stale price","Current"))))</x:f>
        <x:v>Current</x:v>
      </x:c>
      <x:c r="V19" s="2" t="str">
        <x:v>OKLO</x:v>
      </x:c>
      <x:c r="W19" s="2" t="str">
        <x:v>Oklo</x:v>
      </x:c>
      <x:c r="X19" s="2" t="str">
        <x:v>OK</x:v>
      </x:c>
      <x:c r="Y19" s="23" t="d">
        <x:v>2026-10-29T20:00:02.000Z</x:v>
      </x:c>
      <x:c r="Z19" s="16" t="d">
        <x:v>2026-10-29T00:00:00.000Z</x:v>
      </x:c>
    </x:row>
    <x:row r="20" ht="21" customHeight="1">
      <x:c r="A20" s="2"/>
      <x:c r="B20" s="2" t="str">
        <x:v>PLTR_ORD</x:v>
      </x:c>
      <x:c r="C20" s="2" t="str">
        <x:v>PLTR</x:v>
      </x:c>
      <x:c r="D20" s="2" t="str">
        <x:v>Palantir Technologies Inc.</x:v>
      </x:c>
      <x:c r="E20" s="2" t="str">
        <x:v>Equity</x:v>
      </x:c>
      <x:c r="F20" s="2" t="str">
        <x:v>US-listed equity</x:v>
      </x:c>
      <x:c r="G20" s="2" t="str">
        <x:v>US</x:v>
      </x:c>
      <x:c r="H20" s="2" t="str">
        <x:v>USD</x:v>
      </x:c>
      <x:c r="I20" s="20"/>
      <x:c r="J20" s="20"/>
      <x:c r="K20" s="21"/>
      <x:c r="L20" s="2" t="str">
        <x:v>Closed position</x:v>
      </x:c>
      <x:c r="M20" s="17" t="n">
        <x:f>SUMIF(tblTransactions[SecurityID],B20,tblTransactions[SignedQty])</x:f>
        <x:v>0</x:v>
      </x:c>
      <x:c r="N20" s="18" t="n">
        <x:f>SUMIF(tblTransactions[SecurityID],B20,tblTransactions[CostChangeCAD])</x:f>
        <x:v>0</x:v>
      </x:c>
      <x:c r="O20" s="18" t="n">
        <x:f>IF(M20&gt;0,N20/M20,0)</x:f>
        <x:v>0</x:v>
      </x:c>
      <x:c r="P20" s="18" t="n">
        <x:f>IF(COUNTIFS(tblTransactions[SecurityID],B20,tblTransactions[LedgerStatus],"REVIEW")&gt;0,"REVIEW",SUMIF(tblTransactions[SecurityID],B20,tblTransactions[RealizedCAD]))</x:f>
        <x:v>-16.5</x:v>
      </x:c>
      <x:c r="Q20" s="18" t="n">
        <x:f>SUMIF(tblTransactions[SecurityID],B20,tblTransactions[DividendCAD])</x:f>
        <x:v>0</x:v>
      </x:c>
      <x:c r="R20" s="18" t="n">
        <x:f>IF(P20="REVIEW","",IF(ABS(M20)&lt;0.000001,0,IF(AND(ISNUMBER(I20),I20&gt;0,ISNUMBER(J20),J20&gt;0,ISNUMBER(K20),K20&gt;0,K20&lt;=TODAY(),OR(X20="OK",X20="MANUAL"),ISNUMBER(Z20),Z20&lt;=TODAY(),TODAY()-Z20&lt;=7,L20&lt;&gt;"",L20&lt;&gt;"",G20&lt;&gt;"",H20&lt;&gt;""),M20*I20*J20,"")))</x:f>
        <x:v>0</x:v>
      </x:c>
      <x:c r="S20" s="18" t="n">
        <x:f>IF(AND(ISNUMBER(R20),ISNUMBER(P20),M20&gt;=0),R20-N20,"")</x:f>
        <x:v>0</x:v>
      </x:c>
      <x:c r="T20" s="22" t="n">
        <x:f>IF(AND(COUNTIF(tblSecurities[Status],"Price refresh needed")+COUNTIF(tblSecurities[Status],"History exception")+COUNTIF(tblSecurities[Status],"Stale price")=0,ISNUMBER(R20),SUM(tblSecurities[MarketValueCAD])&gt;0),R20/SUM(tblSecurities[MarketValueCAD]),"")</x:f>
        <x:v>0</x:v>
      </x:c>
      <x:c r="U20" s="2" t="str">
        <x:f>IF(OR(M20&lt;-0.000001,P20="REVIEW"),"History exception",IF(ABS(M20)&lt;0.000001,"Closed",IF(NOT(ISNUMBER(R20)),"Price refresh needed",IF(TODAY()-K20&gt;7,"Stale price","Current"))))</x:f>
        <x:v>Closed</x:v>
      </x:c>
      <x:c r="V20" s="2" t="str">
        <x:v>PLTR</x:v>
      </x:c>
      <x:c r="W20" s="2" t="str">
        <x:v>Palantir</x:v>
      </x:c>
      <x:c r="X20" s="2" t="str">
        <x:v>NOT_REQUIRED</x:v>
      </x:c>
      <x:c r="Y20" s="23" t="str"/>
      <x:c r="Z20" s="16"/>
    </x:row>
    <x:row r="21" ht="21" customHeight="1">
      <x:c r="A21" s="2"/>
      <x:c r="B21" s="2" t="str">
        <x:v>QQC_ORD</x:v>
      </x:c>
      <x:c r="C21" s="2" t="str">
        <x:v>QQC</x:v>
      </x:c>
      <x:c r="D21" s="2" t="str">
        <x:v>Invesco Nasdaq 100 Index ETF - CAD</x:v>
      </x:c>
      <x:c r="E21" s="2" t="str">
        <x:v>ETF</x:v>
      </x:c>
      <x:c r="F21" s="2" t="str">
        <x:v>Exchange-traded fund</x:v>
      </x:c>
      <x:c r="G21" s="2" t="str">
        <x:v>TSX</x:v>
      </x:c>
      <x:c r="H21" s="2" t="str">
        <x:v>CAD</x:v>
      </x:c>
      <x:c r="I21" s="20"/>
      <x:c r="J21" s="20"/>
      <x:c r="K21" s="21"/>
      <x:c r="L21" s="2" t="str">
        <x:v>Closed position</x:v>
      </x:c>
      <x:c r="M21" s="17" t="n">
        <x:f>SUMIF(tblTransactions[SecurityID],B21,tblTransactions[SignedQty])</x:f>
        <x:v>0</x:v>
      </x:c>
      <x:c r="N21" s="18" t="n">
        <x:f>SUMIF(tblTransactions[SecurityID],B21,tblTransactions[CostChangeCAD])</x:f>
        <x:v>0</x:v>
      </x:c>
      <x:c r="O21" s="18" t="n">
        <x:f>IF(M21&gt;0,N21/M21,0)</x:f>
        <x:v>0</x:v>
      </x:c>
      <x:c r="P21" s="18" t="n">
        <x:f>IF(COUNTIFS(tblTransactions[SecurityID],B21,tblTransactions[LedgerStatus],"REVIEW")&gt;0,"REVIEW",SUMIF(tblTransactions[SecurityID],B21,tblTransactions[RealizedCAD]))</x:f>
        <x:v>-2.6699999999999875</x:v>
      </x:c>
      <x:c r="Q21" s="18" t="n">
        <x:f>SUMIF(tblTransactions[SecurityID],B21,tblTransactions[DividendCAD])</x:f>
        <x:v>0</x:v>
      </x:c>
      <x:c r="R21" s="18" t="n">
        <x:f>IF(P21="REVIEW","",IF(ABS(M21)&lt;0.000001,0,IF(AND(ISNUMBER(I21),I21&gt;0,ISNUMBER(J21),J21&gt;0,ISNUMBER(K21),K21&gt;0,K21&lt;=TODAY(),OR(X21="OK",X21="MANUAL"),ISNUMBER(Z21),Z21&lt;=TODAY(),TODAY()-Z21&lt;=7,L21&lt;&gt;"",L21&lt;&gt;"",G21&lt;&gt;"",H21&lt;&gt;""),M21*I21*J21,"")))</x:f>
        <x:v>0</x:v>
      </x:c>
      <x:c r="S21" s="18" t="n">
        <x:f>IF(AND(ISNUMBER(R21),ISNUMBER(P21),M21&gt;=0),R21-N21,"")</x:f>
        <x:v>0</x:v>
      </x:c>
      <x:c r="T21" s="22" t="n">
        <x:f>IF(AND(COUNTIF(tblSecurities[Status],"Price refresh needed")+COUNTIF(tblSecurities[Status],"History exception")+COUNTIF(tblSecurities[Status],"Stale price")=0,ISNUMBER(R21),SUM(tblSecurities[MarketValueCAD])&gt;0),R21/SUM(tblSecurities[MarketValueCAD]),"")</x:f>
        <x:v>0</x:v>
      </x:c>
      <x:c r="U21" s="2" t="str">
        <x:f>IF(OR(M21&lt;-0.000001,P21="REVIEW"),"History exception",IF(ABS(M21)&lt;0.000001,"Closed",IF(NOT(ISNUMBER(R21)),"Price refresh needed",IF(TODAY()-K21&gt;7,"Stale price","Current"))))</x:f>
        <x:v>Closed</x:v>
      </x:c>
      <x:c r="V21" s="2" t="str">
        <x:v>QQC.TO</x:v>
      </x:c>
      <x:c r="W21" s="2" t="str">
        <x:v>Invesco</x:v>
      </x:c>
      <x:c r="X21" s="2" t="str">
        <x:v>NOT_REQUIRED</x:v>
      </x:c>
      <x:c r="Y21" s="23" t="str"/>
      <x:c r="Z21" s="16"/>
    </x:row>
    <x:row r="22" ht="21" customHeight="1">
      <x:c r="A22" s="2"/>
      <x:c r="B22" s="2" t="str">
        <x:v>RY_ORD</x:v>
      </x:c>
      <x:c r="C22" s="2" t="str">
        <x:v>RY</x:v>
      </x:c>
      <x:c r="D22" s="2" t="str">
        <x:v>Royal Bank of Canada</x:v>
      </x:c>
      <x:c r="E22" s="2" t="str">
        <x:v>Equity</x:v>
      </x:c>
      <x:c r="F22" s="2" t="str">
        <x:v>Canadian-listed equity</x:v>
      </x:c>
      <x:c r="G22" s="2" t="str">
        <x:v>TSX</x:v>
      </x:c>
      <x:c r="H22" s="2" t="str">
        <x:v>CAD</x:v>
      </x:c>
      <x:c r="I22" s="20" t="n">
        <x:v>288.21</x:v>
      </x:c>
      <x:c r="J22" s="20" t="n">
        <x:v>1</x:v>
      </x:c>
      <x:c r="K22" s="21" t="d">
        <x:v>2026-10-29T00:00:00.000Z</x:v>
      </x:c>
      <x:c r="L22" s="2" t="str">
        <x:v>https://finance.yahoo.com/quote/RY.TO/</x:v>
      </x:c>
      <x:c r="M22" s="17" t="n">
        <x:f>SUMIF(tblTransactions[SecurityID],B22,tblTransactions[SignedQty])</x:f>
        <x:v>2.0329</x:v>
      </x:c>
      <x:c r="N22" s="18" t="n">
        <x:f>SUMIF(tblTransactions[SecurityID],B22,tblTransactions[CostChangeCAD])</x:f>
        <x:v>337.95</x:v>
      </x:c>
      <x:c r="O22" s="18" t="n">
        <x:f>IF(M22&gt;0,N22/M22,0)</x:f>
        <x:v>166.24034630331053</x:v>
      </x:c>
      <x:c r="P22" s="18" t="n">
        <x:f>IF(COUNTIFS(tblTransactions[SecurityID],B22,tblTransactions[LedgerStatus],"REVIEW")&gt;0,"REVIEW",SUMIF(tblTransactions[SecurityID],B22,tblTransactions[RealizedCAD]))</x:f>
        <x:v>0.28000000000000114</x:v>
      </x:c>
      <x:c r="Q22" s="18" t="n">
        <x:f>SUMIF(tblTransactions[SecurityID],B22,tblTransactions[DividendCAD])</x:f>
        <x:v>6.07</x:v>
      </x:c>
      <x:c r="R22" s="18" t="n">
        <x:f>IF(P22="REVIEW","",IF(ABS(M22)&lt;0.000001,0,IF(AND(ISNUMBER(I22),I22&gt;0,ISNUMBER(J22),J22&gt;0,ISNUMBER(K22),K22&gt;0,K22&lt;=TODAY(),OR(X22="OK",X22="MANUAL"),ISNUMBER(Z22),Z22&lt;=TODAY(),TODAY()-Z22&lt;=7,L22&lt;&gt;"",L22&lt;&gt;"",G22&lt;&gt;"",H22&lt;&gt;""),M22*I22*J22,"")))</x:f>
        <x:v>585.902109</x:v>
      </x:c>
      <x:c r="S22" s="18" t="n">
        <x:f>IF(AND(ISNUMBER(R22),ISNUMBER(P22),M22&gt;=0),R22-N22,"")</x:f>
        <x:v>247.952109</x:v>
      </x:c>
      <x:c r="T22" s="22" t="n">
        <x:f>IF(AND(COUNTIF(tblSecurities[Status],"Price refresh needed")+COUNTIF(tblSecurities[Status],"History exception")+COUNTIF(tblSecurities[Status],"Stale price")=0,ISNUMBER(R22),SUM(tblSecurities[MarketValueCAD])&gt;0),R22/SUM(tblSecurities[MarketValueCAD]),"")</x:f>
        <x:v>0.02273456067385029</x:v>
      </x:c>
      <x:c r="U22" s="2" t="str">
        <x:f>IF(OR(M22&lt;-0.000001,P22="REVIEW"),"History exception",IF(ABS(M22)&lt;0.000001,"Closed",IF(NOT(ISNUMBER(R22)),"Price refresh needed",IF(TODAY()-K22&gt;7,"Stale price","Current"))))</x:f>
        <x:v>Current</x:v>
      </x:c>
      <x:c r="V22" s="2" t="str">
        <x:v>RY.TO</x:v>
      </x:c>
      <x:c r="W22" s="2" t="str">
        <x:v>Royal Bank</x:v>
      </x:c>
      <x:c r="X22" s="2" t="str">
        <x:v>OK</x:v>
      </x:c>
      <x:c r="Y22" s="23" t="d">
        <x:v>2026-10-29T20:00:00.000Z</x:v>
      </x:c>
      <x:c r="Z22" s="16" t="d">
        <x:v>2026-10-29T00:00:00.000Z</x:v>
      </x:c>
    </x:row>
    <x:row r="23" ht="21" customHeight="1">
      <x:c r="A23" s="2"/>
      <x:c r="B23" s="2" t="str">
        <x:v>TD_ORD</x:v>
      </x:c>
      <x:c r="C23" s="2" t="str">
        <x:v>TD</x:v>
      </x:c>
      <x:c r="D23" s="2" t="str">
        <x:v>The Toronto-Dominion Bank</x:v>
      </x:c>
      <x:c r="E23" s="2" t="str">
        <x:v>Equity</x:v>
      </x:c>
      <x:c r="F23" s="2" t="str">
        <x:v>Canadian-listed equity</x:v>
      </x:c>
      <x:c r="G23" s="2" t="str">
        <x:v>TSX</x:v>
      </x:c>
      <x:c r="H23" s="2" t="str">
        <x:v>CAD</x:v>
      </x:c>
      <x:c r="I23" s="20"/>
      <x:c r="J23" s="20"/>
      <x:c r="K23" s="21"/>
      <x:c r="L23" s="2" t="str">
        <x:v>Closed position</x:v>
      </x:c>
      <x:c r="M23" s="17" t="n">
        <x:f>SUMIF(tblTransactions[SecurityID],B23,tblTransactions[SignedQty])</x:f>
        <x:v>0</x:v>
      </x:c>
      <x:c r="N23" s="18" t="n">
        <x:f>SUMIF(tblTransactions[SecurityID],B23,tblTransactions[CostChangeCAD])</x:f>
        <x:v>5.684341886080802e-14</x:v>
      </x:c>
      <x:c r="O23" s="18" t="n">
        <x:f>IF(M23&gt;0,N23/M23,0)</x:f>
        <x:v>0</x:v>
      </x:c>
      <x:c r="P23" s="18" t="n">
        <x:f>IF(COUNTIFS(tblTransactions[SecurityID],B23,tblTransactions[LedgerStatus],"REVIEW")&gt;0,"REVIEW",SUMIF(tblTransactions[SecurityID],B23,tblTransactions[RealizedCAD]))</x:f>
        <x:v>19.34000000000009</x:v>
      </x:c>
      <x:c r="Q23" s="18" t="n">
        <x:f>SUMIF(tblTransactions[SecurityID],B23,tblTransactions[DividendCAD])</x:f>
        <x:v>6.3</x:v>
      </x:c>
      <x:c r="R23" s="18" t="n">
        <x:f>IF(P23="REVIEW","",IF(ABS(M23)&lt;0.000001,0,IF(AND(ISNUMBER(I23),I23&gt;0,ISNUMBER(J23),J23&gt;0,ISNUMBER(K23),K23&gt;0,K23&lt;=TODAY(),OR(X23="OK",X23="MANUAL"),ISNUMBER(Z23),Z23&lt;=TODAY(),TODAY()-Z23&lt;=7,L23&lt;&gt;"",L23&lt;&gt;"",G23&lt;&gt;"",H23&lt;&gt;""),M23*I23*J23,"")))</x:f>
        <x:v>0</x:v>
      </x:c>
      <x:c r="S23" s="18" t="n">
        <x:f>IF(AND(ISNUMBER(R23),ISNUMBER(P23),M23&gt;=0),R23-N23,"")</x:f>
        <x:v>-5.684341886080802e-14</x:v>
      </x:c>
      <x:c r="T23" s="22" t="n">
        <x:f>IF(AND(COUNTIF(tblSecurities[Status],"Price refresh needed")+COUNTIF(tblSecurities[Status],"History exception")+COUNTIF(tblSecurities[Status],"Stale price")=0,ISNUMBER(R23),SUM(tblSecurities[MarketValueCAD])&gt;0),R23/SUM(tblSecurities[MarketValueCAD]),"")</x:f>
        <x:v>0</x:v>
      </x:c>
      <x:c r="U23" s="2" t="str">
        <x:f>IF(OR(M23&lt;-0.000001,P23="REVIEW"),"History exception",IF(ABS(M23)&lt;0.000001,"Closed",IF(NOT(ISNUMBER(R23)),"Price refresh needed",IF(TODAY()-K23&gt;7,"Stale price","Current"))))</x:f>
        <x:v>Closed</x:v>
      </x:c>
      <x:c r="V23" s="2" t="str">
        <x:v>TD.TO</x:v>
      </x:c>
      <x:c r="W23" s="2" t="str">
        <x:v>Toronto</x:v>
      </x:c>
      <x:c r="X23" s="2" t="str">
        <x:v>NOT_REQUIRED</x:v>
      </x:c>
      <x:c r="Y23" s="23" t="str"/>
      <x:c r="Z23" s="16"/>
    </x:row>
    <x:row r="24" ht="21" customHeight="1">
      <x:c r="A24" s="2"/>
      <x:c r="B24" s="2" t="str">
        <x:v>TEC_ORD</x:v>
      </x:c>
      <x:c r="C24" s="2" t="str">
        <x:v>TEC</x:v>
      </x:c>
      <x:c r="D24" s="2" t="str">
        <x:v>TD Global Technology ETF</x:v>
      </x:c>
      <x:c r="E24" s="2" t="str">
        <x:v>ETF</x:v>
      </x:c>
      <x:c r="F24" s="2" t="str">
        <x:v>Exchange-traded fund</x:v>
      </x:c>
      <x:c r="G24" s="2" t="str">
        <x:v>TSX</x:v>
      </x:c>
      <x:c r="H24" s="2" t="str">
        <x:v>CAD</x:v>
      </x:c>
      <x:c r="I24" s="20" t="n">
        <x:v>61.54</x:v>
      </x:c>
      <x:c r="J24" s="20" t="n">
        <x:v>1</x:v>
      </x:c>
      <x:c r="K24" s="21" t="d">
        <x:v>2026-10-29T00:00:00.000Z</x:v>
      </x:c>
      <x:c r="L24" s="2" t="str">
        <x:v>https://finance.yahoo.com/quote/TEC.TO/</x:v>
      </x:c>
      <x:c r="M24" s="17" t="n">
        <x:f>SUMIF(tblTransactions[SecurityID],B24,tblTransactions[SignedQty])</x:f>
        <x:v>20.0079</x:v>
      </x:c>
      <x:c r="N24" s="18" t="n">
        <x:f>SUMIF(tblTransactions[SecurityID],B24,tblTransactions[CostChangeCAD])</x:f>
        <x:v>893.2</x:v>
      </x:c>
      <x:c r="O24" s="18" t="n">
        <x:f>IF(M24&gt;0,N24/M24,0)</x:f>
        <x:v>44.6423662653252</x:v>
      </x:c>
      <x:c r="P24" s="18" t="n">
        <x:f>IF(COUNTIFS(tblTransactions[SecurityID],B24,tblTransactions[LedgerStatus],"REVIEW")&gt;0,"REVIEW",SUMIF(tblTransactions[SecurityID],B24,tblTransactions[RealizedCAD]))</x:f>
        <x:v>-13.93999999999994</x:v>
      </x:c>
      <x:c r="Q24" s="18" t="n">
        <x:f>SUMIF(tblTransactions[SecurityID],B24,tblTransactions[DividendCAD])</x:f>
        <x:v>0.8700000000000001</x:v>
      </x:c>
      <x:c r="R24" s="18" t="n">
        <x:f>IF(P24="REVIEW","",IF(ABS(M24)&lt;0.000001,0,IF(AND(ISNUMBER(I24),I24&gt;0,ISNUMBER(J24),J24&gt;0,ISNUMBER(K24),K24&gt;0,K24&lt;=TODAY(),OR(X24="OK",X24="MANUAL"),ISNUMBER(Z24),Z24&lt;=TODAY(),TODAY()-Z24&lt;=7,L24&lt;&gt;"",L24&lt;&gt;"",G24&lt;&gt;"",H24&lt;&gt;""),M24*I24*J24,"")))</x:f>
        <x:v>1231.2861659999999</x:v>
      </x:c>
      <x:c r="S24" s="18" t="n">
        <x:f>IF(AND(ISNUMBER(R24),ISNUMBER(P24),M24&gt;=0),R24-N24,"")</x:f>
        <x:v>338.0861659999998</x:v>
      </x:c>
      <x:c r="T24" s="22" t="n">
        <x:f>IF(AND(COUNTIF(tblSecurities[Status],"Price refresh needed")+COUNTIF(tblSecurities[Status],"History exception")+COUNTIF(tblSecurities[Status],"Stale price")=0,ISNUMBER(R24),SUM(tblSecurities[MarketValueCAD])&gt;0),R24/SUM(tblSecurities[MarketValueCAD]),"")</x:f>
        <x:v>0.04777717918711144</x:v>
      </x:c>
      <x:c r="U24" s="2" t="str">
        <x:f>IF(OR(M24&lt;-0.000001,P24="REVIEW"),"History exception",IF(ABS(M24)&lt;0.000001,"Closed",IF(NOT(ISNUMBER(R24)),"Price refresh needed",IF(TODAY()-K24&gt;7,"Stale price","Current"))))</x:f>
        <x:v>Current</x:v>
      </x:c>
      <x:c r="V24" s="2" t="str">
        <x:v>TEC.TO</x:v>
      </x:c>
      <x:c r="W24" s="2" t="str">
        <x:v>Technology</x:v>
      </x:c>
      <x:c r="X24" s="2" t="str">
        <x:v>OK</x:v>
      </x:c>
      <x:c r="Y24" s="23" t="d">
        <x:v>2026-10-29T19:59:29.000Z</x:v>
      </x:c>
      <x:c r="Z24" s="16" t="d">
        <x:v>2026-10-29T00:00:00.000Z</x:v>
      </x:c>
    </x:row>
    <x:row r="25" ht="21" customHeight="1">
      <x:c r="A25" s="2"/>
      <x:c r="B25" s="2" t="str">
        <x:v>UPS_ORD</x:v>
      </x:c>
      <x:c r="C25" s="2" t="str">
        <x:v>UPS</x:v>
      </x:c>
      <x:c r="D25" s="2" t="str">
        <x:v>United Parcel Service</x:v>
      </x:c>
      <x:c r="E25" s="2" t="str">
        <x:v>Equity</x:v>
      </x:c>
      <x:c r="F25" s="2" t="str">
        <x:v>US-listed equity</x:v>
      </x:c>
      <x:c r="G25" s="2" t="str">
        <x:v>NYSE</x:v>
      </x:c>
      <x:c r="H25" s="2" t="str">
        <x:v>USD</x:v>
      </x:c>
      <x:c r="I25" s="20" t="n">
        <x:v>107.33</x:v>
      </x:c>
      <x:c r="J25" s="20" t="n">
        <x:v>1.3989</x:v>
      </x:c>
      <x:c r="K25" s="21" t="d">
        <x:v>2026-10-29T00:00:00.000Z</x:v>
      </x:c>
      <x:c r="L25" s="2" t="str">
        <x:v>https://finance.yahoo.com/quote/UPS/</x:v>
      </x:c>
      <x:c r="M25" s="17" t="n">
        <x:f>SUMIF(tblTransactions[SecurityID],B25,tblTransactions[SignedQty])</x:f>
        <x:v>1</x:v>
      </x:c>
      <x:c r="N25" s="18" t="n">
        <x:f>SUMIF(tblTransactions[SecurityID],B25,tblTransactions[CostChangeCAD])</x:f>
        <x:v>122.23</x:v>
      </x:c>
      <x:c r="O25" s="18" t="n">
        <x:f>IF(M25&gt;0,N25/M25,0)</x:f>
        <x:v>122.23</x:v>
      </x:c>
      <x:c r="P25" s="18" t="n">
        <x:f>IF(COUNTIFS(tblTransactions[SecurityID],B25,tblTransactions[LedgerStatus],"REVIEW")&gt;0,"REVIEW",SUMIF(tblTransactions[SecurityID],B25,tblTransactions[RealizedCAD]))</x:f>
        <x:v>0</x:v>
      </x:c>
      <x:c r="Q25" s="18" t="n">
        <x:f>SUMIF(tblTransactions[SecurityID],B25,tblTransactions[DividendCAD])</x:f>
        <x:v>0</x:v>
      </x:c>
      <x:c r="R25" s="18" t="n">
        <x:f>IF(P25="REVIEW","",IF(ABS(M25)&lt;0.000001,0,IF(AND(ISNUMBER(I25),I25&gt;0,ISNUMBER(J25),J25&gt;0,ISNUMBER(K25),K25&gt;0,K25&lt;=TODAY(),OR(X25="OK",X25="MANUAL"),ISNUMBER(Z25),Z25&lt;=TODAY(),TODAY()-Z25&lt;=7,L25&lt;&gt;"",L25&lt;&gt;"",G25&lt;&gt;"",H25&lt;&gt;""),M25*I25*J25,"")))</x:f>
        <x:v>150.143937</x:v>
      </x:c>
      <x:c r="S25" s="18" t="n">
        <x:f>IF(AND(ISNUMBER(R25),ISNUMBER(P25),M25&gt;=0),R25-N25,"")</x:f>
        <x:v>27.91393699999999</x:v>
      </x:c>
      <x:c r="T25" s="22" t="n">
        <x:f>IF(AND(COUNTIF(tblSecurities[Status],"Price refresh needed")+COUNTIF(tblSecurities[Status],"History exception")+COUNTIF(tblSecurities[Status],"Stale price")=0,ISNUMBER(R25),SUM(tblSecurities[MarketValueCAD])&gt;0),R25/SUM(tblSecurities[MarketValueCAD]),"")</x:f>
        <x:v>0.00582598422689285</x:v>
      </x:c>
      <x:c r="U25" s="2" t="str">
        <x:f>IF(OR(M25&lt;-0.000001,P25="REVIEW"),"History exception",IF(ABS(M25)&lt;0.000001,"Closed",IF(NOT(ISNUMBER(R25)),"Price refresh needed",IF(TODAY()-K25&gt;7,"Stale price","Current"))))</x:f>
        <x:v>Current</x:v>
      </x:c>
      <x:c r="V25" s="2" t="str">
        <x:v>UPS</x:v>
      </x:c>
      <x:c r="W25" s="2" t="str">
        <x:v>United Parcel</x:v>
      </x:c>
      <x:c r="X25" s="2" t="str">
        <x:v>OK</x:v>
      </x:c>
      <x:c r="Y25" s="23" t="d">
        <x:v>2026-10-29T20:02:58.000Z</x:v>
      </x:c>
      <x:c r="Z25" s="16" t="d">
        <x:v>2026-10-29T00:00:00.000Z</x:v>
      </x:c>
    </x:row>
    <x:row r="26" ht="21" customHeight="1">
      <x:c r="A26" s="2"/>
      <x:c r="B26" s="2" t="str">
        <x:v>VCN_ORD</x:v>
      </x:c>
      <x:c r="C26" s="2" t="str">
        <x:v>VCN</x:v>
      </x:c>
      <x:c r="D26" s="2" t="str">
        <x:v>Vanguard Canadian Equity ETF</x:v>
      </x:c>
      <x:c r="E26" s="2" t="str">
        <x:v>ETF</x:v>
      </x:c>
      <x:c r="F26" s="2" t="str">
        <x:v>Exchange-traded fund</x:v>
      </x:c>
      <x:c r="G26" s="2" t="str">
        <x:v>TSX</x:v>
      </x:c>
      <x:c r="H26" s="2" t="str">
        <x:v>CAD</x:v>
      </x:c>
      <x:c r="I26" s="20" t="n">
        <x:v>73.75</x:v>
      </x:c>
      <x:c r="J26" s="20" t="n">
        <x:v>1</x:v>
      </x:c>
      <x:c r="K26" s="21" t="d">
        <x:v>2026-10-29T00:00:00.000Z</x:v>
      </x:c>
      <x:c r="L26" s="2" t="str">
        <x:v>https://finance.yahoo.com/quote/VCN.TO/</x:v>
      </x:c>
      <x:c r="M26" s="17" t="n">
        <x:f>SUMIF(tblTransactions[SecurityID],B26,tblTransactions[SignedQty])</x:f>
        <x:v>3</x:v>
      </x:c>
      <x:c r="N26" s="18" t="n">
        <x:f>SUMIF(tblTransactions[SecurityID],B26,tblTransactions[CostChangeCAD])</x:f>
        <x:v>184.49</x:v>
      </x:c>
      <x:c r="O26" s="18" t="n">
        <x:f>IF(M26&gt;0,N26/M26,0)</x:f>
        <x:v>61.49666666666667</x:v>
      </x:c>
      <x:c r="P26" s="18" t="n">
        <x:f>IF(COUNTIFS(tblTransactions[SecurityID],B26,tblTransactions[LedgerStatus],"REVIEW")&gt;0,"REVIEW",SUMIF(tblTransactions[SecurityID],B26,tblTransactions[RealizedCAD]))</x:f>
        <x:v>0</x:v>
      </x:c>
      <x:c r="Q26" s="18" t="n">
        <x:f>SUMIF(tblTransactions[SecurityID],B26,tblTransactions[DividendCAD])</x:f>
        <x:v>0</x:v>
      </x:c>
      <x:c r="R26" s="18" t="n">
        <x:f>IF(P26="REVIEW","",IF(ABS(M26)&lt;0.000001,0,IF(AND(ISNUMBER(I26),I26&gt;0,ISNUMBER(J26),J26&gt;0,ISNUMBER(K26),K26&gt;0,K26&lt;=TODAY(),OR(X26="OK",X26="MANUAL"),ISNUMBER(Z26),Z26&lt;=TODAY(),TODAY()-Z26&lt;=7,L26&lt;&gt;"",L26&lt;&gt;"",G26&lt;&gt;"",H26&lt;&gt;""),M26*I26*J26,"")))</x:f>
        <x:v>221.25</x:v>
      </x:c>
      <x:c r="S26" s="18" t="n">
        <x:f>IF(AND(ISNUMBER(R26),ISNUMBER(P26),M26&gt;=0),R26-N26,"")</x:f>
        <x:v>36.75999999999999</x:v>
      </x:c>
      <x:c r="T26" s="22" t="n">
        <x:f>IF(AND(COUNTIF(tblSecurities[Status],"Price refresh needed")+COUNTIF(tblSecurities[Status],"History exception")+COUNTIF(tblSecurities[Status],"Stale price")=0,ISNUMBER(R26),SUM(tblSecurities[MarketValueCAD])&gt;0),R26/SUM(tblSecurities[MarketValueCAD]),"")</x:f>
        <x:v>0.008585088655295106</x:v>
      </x:c>
      <x:c r="U26" s="2" t="str">
        <x:f>IF(OR(M26&lt;-0.000001,P26="REVIEW"),"History exception",IF(ABS(M26)&lt;0.000001,"Closed",IF(NOT(ISNUMBER(R26)),"Price refresh needed",IF(TODAY()-K26&gt;7,"Stale price","Current"))))</x:f>
        <x:v>Current</x:v>
      </x:c>
      <x:c r="V26" s="2" t="str">
        <x:v>VCN.TO</x:v>
      </x:c>
      <x:c r="W26" s="2" t="str">
        <x:v>Vanguard</x:v>
      </x:c>
      <x:c r="X26" s="2" t="str">
        <x:v>OK</x:v>
      </x:c>
      <x:c r="Y26" s="23" t="d">
        <x:v>2026-10-29T19:59:45.000Z</x:v>
      </x:c>
      <x:c r="Z26" s="16" t="d">
        <x:v>2026-10-29T00:00:00.000Z</x:v>
      </x:c>
    </x:row>
    <x:row r="27" ht="21" customHeight="1">
      <x:c r="A27" s="2"/>
      <x:c r="B27" s="2" t="str">
        <x:v>VDY_ORD</x:v>
      </x:c>
      <x:c r="C27" s="2" t="str">
        <x:v>VDY</x:v>
      </x:c>
      <x:c r="D27" s="2" t="str">
        <x:v>Vanguard Canadian Dividend ETF</x:v>
      </x:c>
      <x:c r="E27" s="2" t="str">
        <x:v>ETF</x:v>
      </x:c>
      <x:c r="F27" s="2" t="str">
        <x:v>Exchange-traded fund</x:v>
      </x:c>
      <x:c r="G27" s="2" t="str">
        <x:v>TSX</x:v>
      </x:c>
      <x:c r="H27" s="2" t="str">
        <x:v>CAD</x:v>
      </x:c>
      <x:c r="I27" s="20" t="n">
        <x:v>79.48</x:v>
      </x:c>
      <x:c r="J27" s="20" t="n">
        <x:v>1</x:v>
      </x:c>
      <x:c r="K27" s="21" t="d">
        <x:v>2026-10-29T00:00:00.000Z</x:v>
      </x:c>
      <x:c r="L27" s="2" t="str">
        <x:v>https://finance.yahoo.com/quote/VDY.TO/</x:v>
      </x:c>
      <x:c r="M27" s="17" t="n">
        <x:f>SUMIF(tblTransactions[SecurityID],B27,tblTransactions[SignedQty])</x:f>
        <x:v>7.046599999999999</x:v>
      </x:c>
      <x:c r="N27" s="18" t="n">
        <x:f>SUMIF(tblTransactions[SecurityID],B27,tblTransactions[CostChangeCAD])</x:f>
        <x:v>375.7699999999999</x:v>
      </x:c>
      <x:c r="O27" s="18" t="n">
        <x:f>IF(M27&gt;0,N27/M27,0)</x:f>
        <x:v>53.32642692929923</x:v>
      </x:c>
      <x:c r="P27" s="18" t="n">
        <x:f>IF(COUNTIFS(tblTransactions[SecurityID],B27,tblTransactions[LedgerStatus],"REVIEW")&gt;0,"REVIEW",SUMIF(tblTransactions[SecurityID],B27,tblTransactions[RealizedCAD]))</x:f>
        <x:v>130.08999999999926</x:v>
      </x:c>
      <x:c r="Q27" s="18" t="n">
        <x:f>SUMIF(tblTransactions[SecurityID],B27,tblTransactions[DividendCAD])</x:f>
        <x:v>27.140000000000004</x:v>
      </x:c>
      <x:c r="R27" s="18" t="n">
        <x:f>IF(P27="REVIEW","",IF(ABS(M27)&lt;0.000001,0,IF(AND(ISNUMBER(I27),I27&gt;0,ISNUMBER(J27),J27&gt;0,ISNUMBER(K27),K27&gt;0,K27&lt;=TODAY(),OR(X27="OK",X27="MANUAL"),ISNUMBER(Z27),Z27&lt;=TODAY(),TODAY()-Z27&lt;=7,L27&lt;&gt;"",L27&lt;&gt;"",G27&lt;&gt;"",H27&lt;&gt;""),M27*I27*J27,"")))</x:f>
        <x:v>560.063768</x:v>
      </x:c>
      <x:c r="S27" s="18" t="n">
        <x:f>IF(AND(ISNUMBER(R27),ISNUMBER(P27),M27&gt;=0),R27-N27,"")</x:f>
        <x:v>184.29376800000006</x:v>
      </x:c>
      <x:c r="T27" s="22" t="n">
        <x:f>IF(AND(COUNTIF(tblSecurities[Status],"Price refresh needed")+COUNTIF(tblSecurities[Status],"History exception")+COUNTIF(tblSecurities[Status],"Stale price")=0,ISNUMBER(R27),SUM(tblSecurities[MarketValueCAD])&gt;0),R27/SUM(tblSecurities[MarketValueCAD]),"")</x:f>
        <x:v>0.021731964297846917</x:v>
      </x:c>
      <x:c r="U27" s="2" t="str">
        <x:f>IF(OR(M27&lt;-0.000001,P27="REVIEW"),"History exception",IF(ABS(M27)&lt;0.000001,"Closed",IF(NOT(ISNUMBER(R27)),"Price refresh needed",IF(TODAY()-K27&gt;7,"Stale price","Current"))))</x:f>
        <x:v>Current</x:v>
      </x:c>
      <x:c r="V27" s="2" t="str">
        <x:v>VDY.TO</x:v>
      </x:c>
      <x:c r="W27" s="2" t="str">
        <x:v>Vanguard</x:v>
      </x:c>
      <x:c r="X27" s="2" t="str">
        <x:v>OK</x:v>
      </x:c>
      <x:c r="Y27" s="23" t="d">
        <x:v>2026-10-29T19:59:39.000Z</x:v>
      </x:c>
      <x:c r="Z27" s="16" t="d">
        <x:v>2026-10-29T00:00:00.000Z</x:v>
      </x:c>
    </x:row>
    <x:row r="28" ht="21" customHeight="1">
      <x:c r="A28" s="2"/>
      <x:c r="B28" s="2" t="str">
        <x:v>VFV_ORD</x:v>
      </x:c>
      <x:c r="C28" s="2" t="str">
        <x:v>VFV</x:v>
      </x:c>
      <x:c r="D28" s="2" t="str">
        <x:v>Vanguard S&amp;P 500 ETF</x:v>
      </x:c>
      <x:c r="E28" s="2" t="str">
        <x:v>ETF</x:v>
      </x:c>
      <x:c r="F28" s="2" t="str">
        <x:v>Exchange-traded fund</x:v>
      </x:c>
      <x:c r="G28" s="2" t="str">
        <x:v>TSX</x:v>
      </x:c>
      <x:c r="H28" s="2" t="str">
        <x:v>CAD</x:v>
      </x:c>
      <x:c r="I28" s="20" t="n">
        <x:v>191.57</x:v>
      </x:c>
      <x:c r="J28" s="20" t="n">
        <x:v>1</x:v>
      </x:c>
      <x:c r="K28" s="21" t="d">
        <x:v>2026-10-29T00:00:00.000Z</x:v>
      </x:c>
      <x:c r="L28" s="2" t="str">
        <x:v>https://finance.yahoo.com/quote/VFV.TO/</x:v>
      </x:c>
      <x:c r="M28" s="17" t="n">
        <x:f>SUMIF(tblTransactions[SecurityID],B28,tblTransactions[SignedQty])</x:f>
        <x:v>52.2578</x:v>
      </x:c>
      <x:c r="N28" s="18" t="n">
        <x:f>SUMIF(tblTransactions[SecurityID],B28,tblTransactions[CostChangeCAD])</x:f>
        <x:v>7785.429991735696</x:v>
      </x:c>
      <x:c r="O28" s="18" t="n">
        <x:f>IF(M28&gt;0,N28/M28,0)</x:f>
        <x:v>148.9812045615333</x:v>
      </x:c>
      <x:c r="P28" s="18" t="n">
        <x:f>IF(COUNTIFS(tblTransactions[SecurityID],B28,tblTransactions[LedgerStatus],"REVIEW")&gt;0,"REVIEW",SUMIF(tblTransactions[SecurityID],B28,tblTransactions[RealizedCAD]))</x:f>
        <x:v>290.6099917356951</x:v>
      </x:c>
      <x:c r="Q28" s="18" t="n">
        <x:f>SUMIF(tblTransactions[SecurityID],B28,tblTransactions[DividendCAD])</x:f>
        <x:v>69.09</x:v>
      </x:c>
      <x:c r="R28" s="18" t="n">
        <x:f>IF(P28="REVIEW","",IF(ABS(M28)&lt;0.000001,0,IF(AND(ISNUMBER(I28),I28&gt;0,ISNUMBER(J28),J28&gt;0,ISNUMBER(K28),K28&gt;0,K28&lt;=TODAY(),OR(X28="OK",X28="MANUAL"),ISNUMBER(Z28),Z28&lt;=TODAY(),TODAY()-Z28&lt;=7,L28&lt;&gt;"",L28&lt;&gt;"",G28&lt;&gt;"",H28&lt;&gt;""),M28*I28*J28,"")))</x:f>
        <x:v>10011.026746</x:v>
      </x:c>
      <x:c r="S28" s="18" t="n">
        <x:f>IF(AND(ISNUMBER(R28),ISNUMBER(P28),M28&gt;=0),R28-N28,"")</x:f>
        <x:v>2225.596754264304</x:v>
      </x:c>
      <x:c r="T28" s="22" t="n">
        <x:f>IF(AND(COUNTIF(tblSecurities[Status],"Price refresh needed")+COUNTIF(tblSecurities[Status],"History exception")+COUNTIF(tblSecurities[Status],"Stale price")=0,ISNUMBER(R28),SUM(tblSecurities[MarketValueCAD])&gt;0),R28/SUM(tblSecurities[MarketValueCAD]),"")</x:f>
        <x:v>0.3884544729714824</x:v>
      </x:c>
      <x:c r="U28" s="2" t="str">
        <x:f>IF(OR(M28&lt;-0.000001,P28="REVIEW"),"History exception",IF(ABS(M28)&lt;0.000001,"Closed",IF(NOT(ISNUMBER(R28)),"Price refresh needed",IF(TODAY()-K28&gt;7,"Stale price","Current"))))</x:f>
        <x:v>Current</x:v>
      </x:c>
      <x:c r="V28" s="2" t="str">
        <x:v>VFV.TO</x:v>
      </x:c>
      <x:c r="W28" s="2" t="str">
        <x:v>Vanguard</x:v>
      </x:c>
      <x:c r="X28" s="2" t="str">
        <x:v>OK</x:v>
      </x:c>
      <x:c r="Y28" s="23" t="d">
        <x:v>2026-10-29T19:59:48.000Z</x:v>
      </x:c>
      <x:c r="Z28" s="16" t="d">
        <x:v>2026-10-29T00:00:00.000Z</x:v>
      </x:c>
    </x:row>
    <x:row r="29" ht="21" customHeight="1">
      <x:c r="A29" s="2"/>
      <x:c r="B29" s="2" t="str">
        <x:v>XEI_ORD</x:v>
      </x:c>
      <x:c r="C29" s="2" t="str">
        <x:v>XEI</x:v>
      </x:c>
      <x:c r="D29" s="2" t="str">
        <x:v>iShares S&amp;P/TSX Composite High Dividend Income Index ETF</x:v>
      </x:c>
      <x:c r="E29" s="2" t="str">
        <x:v>ETF</x:v>
      </x:c>
      <x:c r="F29" s="2" t="str">
        <x:v>Exchange-traded fund</x:v>
      </x:c>
      <x:c r="G29" s="2" t="str">
        <x:v>TSX</x:v>
      </x:c>
      <x:c r="H29" s="2" t="str">
        <x:v>CAD</x:v>
      </x:c>
      <x:c r="I29" s="20"/>
      <x:c r="J29" s="20"/>
      <x:c r="K29" s="21"/>
      <x:c r="L29" s="2" t="str">
        <x:v>Closed position</x:v>
      </x:c>
      <x:c r="M29" s="17" t="n">
        <x:f>SUMIF(tblTransactions[SecurityID],B29,tblTransactions[SignedQty])</x:f>
        <x:v>0</x:v>
      </x:c>
      <x:c r="N29" s="18" t="n">
        <x:f>SUMIF(tblTransactions[SecurityID],B29,tblTransactions[CostChangeCAD])</x:f>
        <x:v>0</x:v>
      </x:c>
      <x:c r="O29" s="18" t="n">
        <x:f>IF(M29&gt;0,N29/M29,0)</x:f>
        <x:v>0</x:v>
      </x:c>
      <x:c r="P29" s="18" t="n">
        <x:f>IF(COUNTIFS(tblTransactions[SecurityID],B29,tblTransactions[LedgerStatus],"REVIEW")&gt;0,"REVIEW",SUMIF(tblTransactions[SecurityID],B29,tblTransactions[RealizedCAD]))</x:f>
        <x:v>4.109999999999992</x:v>
      </x:c>
      <x:c r="Q29" s="18" t="n">
        <x:f>SUMIF(tblTransactions[SecurityID],B29,tblTransactions[DividendCAD])</x:f>
        <x:v>1.01</x:v>
      </x:c>
      <x:c r="R29" s="18" t="n">
        <x:f>IF(P29="REVIEW","",IF(ABS(M29)&lt;0.000001,0,IF(AND(ISNUMBER(I29),I29&gt;0,ISNUMBER(J29),J29&gt;0,ISNUMBER(K29),K29&gt;0,K29&lt;=TODAY(),OR(X29="OK",X29="MANUAL"),ISNUMBER(Z29),Z29&lt;=TODAY(),TODAY()-Z29&lt;=7,L29&lt;&gt;"",L29&lt;&gt;"",G29&lt;&gt;"",H29&lt;&gt;""),M29*I29*J29,"")))</x:f>
        <x:v>0</x:v>
      </x:c>
      <x:c r="S29" s="18" t="n">
        <x:f>IF(AND(ISNUMBER(R29),ISNUMBER(P29),M29&gt;=0),R29-N29,"")</x:f>
        <x:v>0</x:v>
      </x:c>
      <x:c r="T29" s="22" t="n">
        <x:f>IF(AND(COUNTIF(tblSecurities[Status],"Price refresh needed")+COUNTIF(tblSecurities[Status],"History exception")+COUNTIF(tblSecurities[Status],"Stale price")=0,ISNUMBER(R29),SUM(tblSecurities[MarketValueCAD])&gt;0),R29/SUM(tblSecurities[MarketValueCAD]),"")</x:f>
        <x:v>0</x:v>
      </x:c>
      <x:c r="U29" s="2" t="str">
        <x:f>IF(OR(M29&lt;-0.000001,P29="REVIEW"),"History exception",IF(ABS(M29)&lt;0.000001,"Closed",IF(NOT(ISNUMBER(R29)),"Price refresh needed",IF(TODAY()-K29&gt;7,"Stale price","Current"))))</x:f>
        <x:v>Closed</x:v>
      </x:c>
      <x:c r="V29" s="2" t="str">
        <x:v>XEI.TO</x:v>
      </x:c>
      <x:c r="W29" s="2" t="str">
        <x:v>iShares</x:v>
      </x:c>
      <x:c r="X29" s="2" t="str">
        <x:v>NOT_REQUIRED</x:v>
      </x:c>
      <x:c r="Y29" s="23" t="str"/>
      <x:c r="Z29" s="16"/>
    </x:row>
    <x:row r="30" ht="21" customHeight="1">
      <x:c r="A30" s="2"/>
      <x:c r="B30" s="2" t="str">
        <x:v>XEQT_ORD</x:v>
      </x:c>
      <x:c r="C30" s="2" t="str">
        <x:v>XEQT</x:v>
      </x:c>
      <x:c r="D30" s="2" t="str">
        <x:v>iShares Core Equity ETF</x:v>
      </x:c>
      <x:c r="E30" s="2" t="str">
        <x:v>ETF</x:v>
      </x:c>
      <x:c r="F30" s="2" t="str">
        <x:v>Exchange-traded fund</x:v>
      </x:c>
      <x:c r="G30" s="2" t="str">
        <x:v>TSX</x:v>
      </x:c>
      <x:c r="H30" s="2" t="str">
        <x:v>CAD</x:v>
      </x:c>
      <x:c r="I30" s="20" t="n">
        <x:v>45.42</x:v>
      </x:c>
      <x:c r="J30" s="20" t="n">
        <x:v>1</x:v>
      </x:c>
      <x:c r="K30" s="21" t="d">
        <x:v>2026-10-29T00:00:00.000Z</x:v>
      </x:c>
      <x:c r="L30" s="2" t="str">
        <x:v>https://finance.yahoo.com/quote/XEQT.TO/</x:v>
      </x:c>
      <x:c r="M30" s="17" t="n">
        <x:f>SUMIF(tblTransactions[SecurityID],B30,tblTransactions[SignedQty])</x:f>
        <x:v>123.8272</x:v>
      </x:c>
      <x:c r="N30" s="18" t="n">
        <x:f>SUMIF(tblTransactions[SecurityID],B30,tblTransactions[CostChangeCAD])</x:f>
        <x:v>4263.534644929883</x:v>
      </x:c>
      <x:c r="O30" s="18" t="n">
        <x:f>IF(M30&gt;0,N30/M30,0)</x:f>
        <x:v>34.43132562902079</x:v>
      </x:c>
      <x:c r="P30" s="18" t="n">
        <x:f>IF(COUNTIFS(tblTransactions[SecurityID],B30,tblTransactions[LedgerStatus],"REVIEW")&gt;0,"REVIEW",SUMIF(tblTransactions[SecurityID],B30,tblTransactions[RealizedCAD]))</x:f>
        <x:v>418.5646449298829</x:v>
      </x:c>
      <x:c r="Q30" s="18" t="n">
        <x:f>SUMIF(tblTransactions[SecurityID],B30,tblTransactions[DividendCAD])</x:f>
        <x:v>108.08999999999999</x:v>
      </x:c>
      <x:c r="R30" s="18" t="n">
        <x:f>IF(P30="REVIEW","",IF(ABS(M30)&lt;0.000001,0,IF(AND(ISNUMBER(I30),I30&gt;0,ISNUMBER(J30),J30&gt;0,ISNUMBER(K30),K30&gt;0,K30&lt;=TODAY(),OR(X30="OK",X30="MANUAL"),ISNUMBER(Z30),Z30&lt;=TODAY(),TODAY()-Z30&lt;=7,L30&lt;&gt;"",L30&lt;&gt;"",G30&lt;&gt;"",H30&lt;&gt;""),M30*I30*J30,"")))</x:f>
        <x:v>5624.2314240000005</x:v>
      </x:c>
      <x:c r="S30" s="18" t="n">
        <x:f>IF(AND(ISNUMBER(R30),ISNUMBER(P30),M30&gt;=0),R30-N30,"")</x:f>
        <x:v>1360.6967790701174</x:v>
      </x:c>
      <x:c r="T30" s="22" t="n">
        <x:f>IF(AND(COUNTIF(tblSecurities[Status],"Price refresh needed")+COUNTIF(tblSecurities[Status],"History exception")+COUNTIF(tblSecurities[Status],"Stale price")=0,ISNUMBER(R30),SUM(tblSecurities[MarketValueCAD])&gt;0),R30/SUM(tblSecurities[MarketValueCAD]),"")</x:f>
        <x:v>0.2182351430189227</x:v>
      </x:c>
      <x:c r="U30" s="2" t="str">
        <x:f>IF(OR(M30&lt;-0.000001,P30="REVIEW"),"History exception",IF(ABS(M30)&lt;0.000001,"Closed",IF(NOT(ISNUMBER(R30)),"Price refresh needed",IF(TODAY()-K30&gt;7,"Stale price","Current"))))</x:f>
        <x:v>Current</x:v>
      </x:c>
      <x:c r="V30" s="2" t="str">
        <x:v>XEQT.TO</x:v>
      </x:c>
      <x:c r="W30" s="2" t="str">
        <x:v>iShares</x:v>
      </x:c>
      <x:c r="X30" s="2" t="str">
        <x:v>OK</x:v>
      </x:c>
      <x:c r="Y30" s="23" t="d">
        <x:v>2026-10-29T19:58:59.000Z</x:v>
      </x:c>
      <x:c r="Z30" s="16" t="d">
        <x:v>2026-10-29T00:00:00.000Z</x:v>
      </x:c>
    </x:row>
    <x:row r="31" ht="21" customHeight="1">
      <x:c r="A31" s="2"/>
      <x:c r="B31" s="2" t="str">
        <x:v>ZMMK_ORD</x:v>
      </x:c>
      <x:c r="C31" s="2" t="str">
        <x:v>ZMMK</x:v>
      </x:c>
      <x:c r="D31" s="2" t="str">
        <x:v>BMO Money Market ETF</x:v>
      </x:c>
      <x:c r="E31" s="2" t="str">
        <x:v>ETF</x:v>
      </x:c>
      <x:c r="F31" s="2" t="str">
        <x:v>Exchange-traded fund</x:v>
      </x:c>
      <x:c r="G31" s="2" t="str">
        <x:v>TSX</x:v>
      </x:c>
      <x:c r="H31" s="2" t="str">
        <x:v>CAD</x:v>
      </x:c>
      <x:c r="I31" s="20" t="n">
        <x:v>49.82</x:v>
      </x:c>
      <x:c r="J31" s="20" t="n">
        <x:v>1</x:v>
      </x:c>
      <x:c r="K31" s="21" t="d">
        <x:v>2026-10-29T00:00:00.000Z</x:v>
      </x:c>
      <x:c r="L31" s="2" t="str">
        <x:v>https://finance.yahoo.com/quote/ZMMK.TO/</x:v>
      </x:c>
      <x:c r="M31" s="17" t="n">
        <x:f>SUMIF(tblTransactions[SecurityID],B31,tblTransactions[SignedQty])</x:f>
        <x:v>66.6223</x:v>
      </x:c>
      <x:c r="N31" s="18" t="n">
        <x:f>SUMIF(tblTransactions[SecurityID],B31,tblTransactions[CostChangeCAD])</x:f>
        <x:v>3326.163149329079</x:v>
      </x:c>
      <x:c r="O31" s="18" t="n">
        <x:f>IF(M31&gt;0,N31/M31,0)</x:f>
        <x:v>49.92567277516806</x:v>
      </x:c>
      <x:c r="P31" s="18" t="n">
        <x:f>IF(COUNTIFS(tblTransactions[SecurityID],B31,tblTransactions[LedgerStatus],"REVIEW")&gt;0,"REVIEW",SUMIF(tblTransactions[SecurityID],B31,tblTransactions[RealizedCAD]))</x:f>
        <x:v>-2.6568506709215853</x:v>
      </x:c>
      <x:c r="Q31" s="18" t="n">
        <x:f>SUMIF(tblTransactions[SecurityID],B31,tblTransactions[DividendCAD])</x:f>
        <x:v>99.67999999999998</x:v>
      </x:c>
      <x:c r="R31" s="18" t="n">
        <x:f>IF(P31="REVIEW","",IF(ABS(M31)&lt;0.000001,0,IF(AND(ISNUMBER(I31),I31&gt;0,ISNUMBER(J31),J31&gt;0,ISNUMBER(K31),K31&gt;0,K31&lt;=TODAY(),OR(X31="OK",X31="MANUAL"),ISNUMBER(Z31),Z31&lt;=TODAY(),TODAY()-Z31&lt;=7,L31&lt;&gt;"",L31&lt;&gt;"",G31&lt;&gt;"",H31&lt;&gt;""),M31*I31*J31,"")))</x:f>
        <x:v>3319.122986</x:v>
      </x:c>
      <x:c r="S31" s="18" t="n">
        <x:f>IF(AND(ISNUMBER(R31),ISNUMBER(P31),M31&gt;=0),R31-N31,"")</x:f>
        <x:v>-7.0401633290789505</x:v>
      </x:c>
      <x:c r="T31" s="22" t="n">
        <x:f>IF(AND(COUNTIF(tblSecurities[Status],"Price refresh needed")+COUNTIF(tblSecurities[Status],"History exception")+COUNTIF(tblSecurities[Status],"Stale price")=0,ISNUMBER(R31),SUM(tblSecurities[MarketValueCAD])&gt;0),R31/SUM(tblSecurities[MarketValueCAD]),"")</x:f>
        <x:v>0.128790802678589</x:v>
      </x:c>
      <x:c r="U31" s="2" t="str">
        <x:f>IF(OR(M31&lt;-0.000001,P31="REVIEW"),"History exception",IF(ABS(M31)&lt;0.000001,"Closed",IF(NOT(ISNUMBER(R31)),"Price refresh needed",IF(TODAY()-K31&gt;7,"Stale price","Current"))))</x:f>
        <x:v>Current</x:v>
      </x:c>
      <x:c r="V31" s="2" t="str">
        <x:v>ZMMK.TO</x:v>
      </x:c>
      <x:c r="W31" s="2" t="str">
        <x:v>Money Market</x:v>
      </x:c>
      <x:c r="X31" s="2" t="str">
        <x:v>OK</x:v>
      </x:c>
      <x:c r="Y31" s="23" t="d">
        <x:v>2026-10-29T19:59:59.000Z</x:v>
      </x:c>
      <x:c r="Z31" s="16" t="d">
        <x:v>2026-10-29T00:00:00.000Z</x:v>
      </x:c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conditionalFormatting sqref="U6:U31">
    <x:cfRule type="containsText" dxfId="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ff12144ca3084b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Monthly cash activity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Cash activity only. These are not historical portfolio valuations or investment returns.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15" t="str">
        <x:v>Month</x:v>
      </x:c>
      <x:c r="C5" s="15" t="str">
        <x:v>ContributionsCAD</x:v>
      </x:c>
      <x:c r="D5" s="15" t="str">
        <x:v>DividendsCAD</x:v>
      </x:c>
      <x:c r="E5" s="15" t="str">
        <x:v>PurchasesCAD</x:v>
      </x:c>
      <x:c r="F5" s="15" t="str">
        <x:v>SalesCAD</x:v>
      </x:c>
      <x:c r="G5" s="15" t="str">
        <x:v>TaxCAD</x:v>
      </x:c>
      <x:c r="H5" s="15" t="str">
        <x:v>CashChangeCAD</x:v>
      </x:c>
      <x:c r="I5" s="15" t="str">
        <x:v>CumulativeCashCAD</x:v>
      </x:c>
      <x:c r="J5" s="2"/>
      <x:c r="K5" s="2" t="str">
        <x:v>Asset type</x:v>
      </x:c>
      <x:c r="L5" s="2" t="str">
        <x:v>Value CAD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1" customHeight="1">
      <x:c r="A6" s="2"/>
      <x:c r="B6" s="2" t="str">
        <x:v>2024-07</x:v>
      </x:c>
      <x:c r="C6" s="18" t="n">
        <x:f>1*SUMIFS(tblTransactions[AmountCAD],tblTransactions[Month],B6,tblTransactions[Type],"CONT")</x:f>
        <x:v>5975</x:v>
      </x:c>
      <x:c r="D6" s="18" t="n">
        <x:f>1*SUMIFS(tblTransactions[AmountCAD],tblTransactions[Month],B6,tblTransactions[Type],"DIV")</x:f>
        <x:v>0.23</x:v>
      </x:c>
      <x:c r="E6" s="18" t="n">
        <x:f>-1*SUMIFS(tblTransactions[AmountCAD],tblTransactions[Month],B6,tblTransactions[Type],"BUY")</x:f>
        <x:v>4999.990000000001</x:v>
      </x:c>
      <x:c r="F6" s="18" t="n">
        <x:f>1*SUMIFS(tblTransactions[AmountCAD],tblTransactions[Month],B6,tblTransactions[Type],"SELL")</x:f>
        <x:v>0</x:v>
      </x:c>
      <x:c r="G6" s="18" t="n">
        <x:f>-1*SUMIFS(tblTransactions[AmountCAD],tblTransactions[Month],B6,tblTransactions[Type],"NRT")</x:f>
        <x:v>0</x:v>
      </x:c>
      <x:c r="H6" s="18" t="n">
        <x:f>SUMIF(tblTransactions[Month],B6,tblTransactions[AmountCAD])</x:f>
        <x:v>1000.2400000000001</x:v>
      </x:c>
      <x:c r="I6" s="18" t="n">
        <x:f>SUM($H$6:H6)</x:f>
        <x:v>1000.2400000000001</x:v>
      </x:c>
      <x:c r="J6" s="2"/>
      <x:c r="K6" s="2" t="str">
        <x:v>ETF</x:v>
      </x:c>
      <x:c r="L6" s="18" t="n">
        <x:f>SUMIF(tblSecurities[AssetType],K6,tblSecurities[MarketValueCAD])</x:f>
        <x:v>22832.90109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1" customHeight="1">
      <x:c r="A7" s="2"/>
      <x:c r="B7" s="2" t="str">
        <x:v>2024-08</x:v>
      </x:c>
      <x:c r="C7" s="18" t="n">
        <x:f>1*SUMIFS(tblTransactions[AmountCAD],tblTransactions[Month],B7,tblTransactions[Type],"CONT")</x:f>
        <x:v>2000</x:v>
      </x:c>
      <x:c r="D7" s="18" t="n">
        <x:f>1*SUMIFS(tblTransactions[AmountCAD],tblTransactions[Month],B7,tblTransactions[Type],"DIV")</x:f>
        <x:v>5.7</x:v>
      </x:c>
      <x:c r="E7" s="18" t="n">
        <x:f>-1*SUMIFS(tblTransactions[AmountCAD],tblTransactions[Month],B7,tblTransactions[Type],"BUY")</x:f>
        <x:v>1929.7900000000002</x:v>
      </x:c>
      <x:c r="F7" s="18" t="n">
        <x:f>1*SUMIFS(tblTransactions[AmountCAD],tblTransactions[Month],B7,tblTransactions[Type],"SELL")</x:f>
        <x:v>121.49000000000001</x:v>
      </x:c>
      <x:c r="G7" s="18" t="n">
        <x:f>-1*SUMIFS(tblTransactions[AmountCAD],tblTransactions[Month],B7,tblTransactions[Type],"NRT")</x:f>
        <x:v>0.01</x:v>
      </x:c>
      <x:c r="H7" s="18" t="n">
        <x:f>SUMIF(tblTransactions[Month],B7,tblTransactions[AmountCAD])</x:f>
        <x:v>197.38999999999993</x:v>
      </x:c>
      <x:c r="I7" s="18" t="n">
        <x:f>SUM($H$6:H7)</x:f>
        <x:v>1197.63</x:v>
      </x:c>
      <x:c r="J7" s="2"/>
      <x:c r="K7" s="2" t="str">
        <x:v>CDR</x:v>
      </x:c>
      <x:c r="L7" s="18" t="n">
        <x:f>SUMIF(tblSecurities[AssetType],K7,tblSecurities[MarketValueCAD])</x:f>
        <x:v>1750.4970360000002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1" customHeight="1">
      <x:c r="A8" s="2"/>
      <x:c r="B8" s="2" t="str">
        <x:v>2024-09</x:v>
      </x:c>
      <x:c r="C8" s="18" t="n">
        <x:f>1*SUMIFS(tblTransactions[AmountCAD],tblTransactions[Month],B8,tblTransactions[Type],"CONT")</x:f>
        <x:v>2000</x:v>
      </x:c>
      <x:c r="D8" s="18" t="n">
        <x:f>1*SUMIFS(tblTransactions[AmountCAD],tblTransactions[Month],B8,tblTransactions[Type],"DIV")</x:f>
        <x:v>15.73</x:v>
      </x:c>
      <x:c r="E8" s="18" t="n">
        <x:f>-1*SUMIFS(tblTransactions[AmountCAD],tblTransactions[Month],B8,tblTransactions[Type],"BUY")</x:f>
        <x:v>2930.8100000000004</x:v>
      </x:c>
      <x:c r="F8" s="18" t="n">
        <x:f>1*SUMIFS(tblTransactions[AmountCAD],tblTransactions[Month],B8,tblTransactions[Type],"SELL")</x:f>
        <x:v>1904.5199999999998</x:v>
      </x:c>
      <x:c r="G8" s="18" t="n">
        <x:f>-1*SUMIFS(tblTransactions[AmountCAD],tblTransactions[Month],B8,tblTransactions[Type],"NRT")</x:f>
        <x:v>0</x:v>
      </x:c>
      <x:c r="H8" s="18" t="n">
        <x:f>SUMIF(tblTransactions[Month],B8,tblTransactions[AmountCAD])</x:f>
        <x:v>989.4399999999999</x:v>
      </x:c>
      <x:c r="I8" s="18" t="n">
        <x:f>SUM($H$6:H8)</x:f>
        <x:v>2187.07</x:v>
      </x:c>
      <x:c r="J8" s="2"/>
      <x:c r="K8" s="2" t="str">
        <x:v>Equity</x:v>
      </x:c>
      <x:c r="L8" s="18" t="n">
        <x:f>SUMIF(tblSecurities[AssetType],K8,tblSecurities[MarketValueCAD])</x:f>
        <x:v>1188.030555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"/>
      <x:c r="B9" s="2" t="str">
        <x:v>2024-10</x:v>
      </x:c>
      <x:c r="C9" s="18" t="n">
        <x:f>1*SUMIFS(tblTransactions[AmountCAD],tblTransactions[Month],B9,tblTransactions[Type],"CONT")</x:f>
        <x:v>0</x:v>
      </x:c>
      <x:c r="D9" s="18" t="n">
        <x:f>1*SUMIFS(tblTransactions[AmountCAD],tblTransactions[Month],B9,tblTransactions[Type],"DIV")</x:f>
        <x:v>13.73</x:v>
      </x:c>
      <x:c r="E9" s="18" t="n">
        <x:f>-1*SUMIFS(tblTransactions[AmountCAD],tblTransactions[Month],B9,tblTransactions[Type],"BUY")</x:f>
        <x:v>2941.8899999999994</x:v>
      </x:c>
      <x:c r="F9" s="18" t="n">
        <x:f>1*SUMIFS(tblTransactions[AmountCAD],tblTransactions[Month],B9,tblTransactions[Type],"SELL")</x:f>
        <x:v>741.65</x:v>
      </x:c>
      <x:c r="G9" s="18" t="n">
        <x:f>-1*SUMIFS(tblTransactions[AmountCAD],tblTransactions[Month],B9,tblTransactions[Type],"NRT")</x:f>
        <x:v>0.01</x:v>
      </x:c>
      <x:c r="H9" s="18" t="n">
        <x:f>SUMIF(tblTransactions[Month],B9,tblTransactions[AmountCAD])</x:f>
        <x:v>-2186.52</x:v>
      </x:c>
      <x:c r="I9" s="18" t="n">
        <x:f>SUM($H$6:H9)</x:f>
        <x:v>0.5500000000001819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1" customHeight="1">
      <x:c r="A10" s="2"/>
      <x:c r="B10" s="2" t="str">
        <x:v>2024-11</x:v>
      </x:c>
      <x:c r="C10" s="18" t="n">
        <x:f>1*SUMIFS(tblTransactions[AmountCAD],tblTransactions[Month],B10,tblTransactions[Type],"CONT")</x:f>
        <x:v>0</x:v>
      </x:c>
      <x:c r="D10" s="18" t="n">
        <x:f>1*SUMIFS(tblTransactions[AmountCAD],tblTransactions[Month],B10,tblTransactions[Type],"DIV")</x:f>
        <x:v>7.74</x:v>
      </x:c>
      <x:c r="E10" s="18" t="n">
        <x:f>-1*SUMIFS(tblTransactions[AmountCAD],tblTransactions[Month],B10,tblTransactions[Type],"BUY")</x:f>
        <x:v>2128.69</x:v>
      </x:c>
      <x:c r="F10" s="18" t="n">
        <x:f>1*SUMIFS(tblTransactions[AmountCAD],tblTransactions[Month],B10,tblTransactions[Type],"SELL")</x:f>
        <x:v>2120.4</x:v>
      </x:c>
      <x:c r="G10" s="18" t="n">
        <x:f>-1*SUMIFS(tblTransactions[AmountCAD],tblTransactions[Month],B10,tblTransactions[Type],"NRT")</x:f>
        <x:v>0</x:v>
      </x:c>
      <x:c r="H10" s="18" t="n">
        <x:f>SUMIF(tblTransactions[Month],B10,tblTransactions[AmountCAD])</x:f>
        <x:v>-0.5500000000001464</x:v>
      </x:c>
      <x:c r="I10" s="18" t="n">
        <x:f>SUM($H$6:H10)</x:f>
        <x:v>3.552713678800501e-14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1" customHeight="1">
      <x:c r="A11" s="2"/>
      <x:c r="B11" s="2" t="str">
        <x:v>2024-12</x:v>
      </x:c>
      <x:c r="C11" s="18" t="n">
        <x:f>1*SUMIFS(tblTransactions[AmountCAD],tblTransactions[Month],B11,tblTransactions[Type],"CONT")</x:f>
        <x:v>1000</x:v>
      </x:c>
      <x:c r="D11" s="18" t="n">
        <x:f>1*SUMIFS(tblTransactions[AmountCAD],tblTransactions[Month],B11,tblTransactions[Type],"DIV")</x:f>
        <x:v>10.530000000000001</x:v>
      </x:c>
      <x:c r="E11" s="18" t="n">
        <x:f>-1*SUMIFS(tblTransactions[AmountCAD],tblTransactions[Month],B11,tblTransactions[Type],"BUY")</x:f>
        <x:v>2448.0099999999998</x:v>
      </x:c>
      <x:c r="F11" s="18" t="n">
        <x:f>1*SUMIFS(tblTransactions[AmountCAD],tblTransactions[Month],B11,tblTransactions[Type],"SELL")</x:f>
        <x:v>1438.05</x:v>
      </x:c>
      <x:c r="G11" s="18" t="n">
        <x:f>-1*SUMIFS(tblTransactions[AmountCAD],tblTransactions[Month],B11,tblTransactions[Type],"NRT")</x:f>
        <x:v>0</x:v>
      </x:c>
      <x:c r="H11" s="18" t="n">
        <x:f>SUMIF(tblTransactions[Month],B11,tblTransactions[AmountCAD])</x:f>
        <x:v>0.5700000000000855</x:v>
      </x:c>
      <x:c r="I11" s="18" t="n">
        <x:f>SUM($H$6:H11)</x:f>
        <x:v>0.5700000000001211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2" t="str">
        <x:v>2025-01</x:v>
      </x:c>
      <x:c r="C12" s="18" t="n">
        <x:f>1*SUMIFS(tblTransactions[AmountCAD],tblTransactions[Month],B12,tblTransactions[Type],"CONT")</x:f>
        <x:v>4500</x:v>
      </x:c>
      <x:c r="D12" s="18" t="n">
        <x:f>1*SUMIFS(tblTransactions[AmountCAD],tblTransactions[Month],B12,tblTransactions[Type],"DIV")</x:f>
        <x:v>69.06</x:v>
      </x:c>
      <x:c r="E12" s="18" t="n">
        <x:f>-1*SUMIFS(tblTransactions[AmountCAD],tblTransactions[Month],B12,tblTransactions[Type],"BUY")</x:f>
        <x:v>4584.379999999999</x:v>
      </x:c>
      <x:c r="F12" s="18" t="n">
        <x:f>1*SUMIFS(tblTransactions[AmountCAD],tblTransactions[Month],B12,tblTransactions[Type],"SELL")</x:f>
        <x:v>26.28</x:v>
      </x:c>
      <x:c r="G12" s="18" t="n">
        <x:f>-1*SUMIFS(tblTransactions[AmountCAD],tblTransactions[Month],B12,tblTransactions[Type],"NRT")</x:f>
        <x:v>0</x:v>
      </x:c>
      <x:c r="H12" s="18" t="n">
        <x:f>SUMIF(tblTransactions[Month],B12,tblTransactions[AmountCAD])</x:f>
        <x:v>10.960000000000182</x:v>
      </x:c>
      <x:c r="I12" s="18" t="n">
        <x:f>SUM($H$6:H12)</x:f>
        <x:v>11.530000000000303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2" t="str">
        <x:v>2025-02</x:v>
      </x:c>
      <x:c r="C13" s="18" t="n">
        <x:f>1*SUMIFS(tblTransactions[AmountCAD],tblTransactions[Month],B13,tblTransactions[Type],"CONT")</x:f>
        <x:v>1500</x:v>
      </x:c>
      <x:c r="D13" s="18" t="n">
        <x:f>1*SUMIFS(tblTransactions[AmountCAD],tblTransactions[Month],B13,tblTransactions[Type],"DIV")</x:f>
        <x:v>0.36</x:v>
      </x:c>
      <x:c r="E13" s="18" t="n">
        <x:f>-1*SUMIFS(tblTransactions[AmountCAD],tblTransactions[Month],B13,tblTransactions[Type],"BUY")</x:f>
        <x:v>12640.949999999999</x:v>
      </x:c>
      <x:c r="F13" s="18" t="n">
        <x:f>1*SUMIFS(tblTransactions[AmountCAD],tblTransactions[Month],B13,tblTransactions[Type],"SELL")</x:f>
        <x:v>18011.01</x:v>
      </x:c>
      <x:c r="G13" s="18" t="n">
        <x:f>-1*SUMIFS(tblTransactions[AmountCAD],tblTransactions[Month],B13,tblTransactions[Type],"NRT")</x:f>
        <x:v>0.05</x:v>
      </x:c>
      <x:c r="H13" s="18" t="n">
        <x:f>SUMIF(tblTransactions[Month],B13,tblTransactions[AmountCAD])</x:f>
        <x:v>6870.370000000001</x:v>
      </x:c>
      <x:c r="I13" s="18" t="n">
        <x:f>SUM($H$6:H13)</x:f>
        <x:v>6881.9000000000015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2" t="str">
        <x:v>2025-03</x:v>
      </x:c>
      <x:c r="C14" s="18" t="n">
        <x:f>1*SUMIFS(tblTransactions[AmountCAD],tblTransactions[Month],B14,tblTransactions[Type],"CONT")</x:f>
        <x:v>500</x:v>
      </x:c>
      <x:c r="D14" s="18" t="n">
        <x:f>1*SUMIFS(tblTransactions[AmountCAD],tblTransactions[Month],B14,tblTransactions[Type],"DIV")</x:f>
        <x:v>9.42</x:v>
      </x:c>
      <x:c r="E14" s="18" t="n">
        <x:f>-1*SUMIFS(tblTransactions[AmountCAD],tblTransactions[Month],B14,tblTransactions[Type],"BUY")</x:f>
        <x:v>7454.77</x:v>
      </x:c>
      <x:c r="F14" s="18" t="n">
        <x:f>1*SUMIFS(tblTransactions[AmountCAD],tblTransactions[Month],B14,tblTransactions[Type],"SELL")</x:f>
        <x:v>144.05</x:v>
      </x:c>
      <x:c r="G14" s="18" t="n">
        <x:f>-1*SUMIFS(tblTransactions[AmountCAD],tblTransactions[Month],B14,tblTransactions[Type],"NRT")</x:f>
        <x:v>0</x:v>
      </x:c>
      <x:c r="H14" s="18" t="n">
        <x:f>SUMIF(tblTransactions[Month],B14,tblTransactions[AmountCAD])</x:f>
        <x:v>-6801.3</x:v>
      </x:c>
      <x:c r="I14" s="18" t="n">
        <x:f>SUM($H$6:H14)</x:f>
        <x:v>80.60000000000127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2" t="str">
        <x:v>2025-04</x:v>
      </x:c>
      <x:c r="C15" s="18" t="n">
        <x:f>1*SUMIFS(tblTransactions[AmountCAD],tblTransactions[Month],B15,tblTransactions[Type],"CONT")</x:f>
        <x:v>2000</x:v>
      </x:c>
      <x:c r="D15" s="18" t="n">
        <x:f>1*SUMIFS(tblTransactions[AmountCAD],tblTransactions[Month],B15,tblTransactions[Type],"DIV")</x:f>
        <x:v>34.510000000000005</x:v>
      </x:c>
      <x:c r="E15" s="18" t="n">
        <x:f>-1*SUMIFS(tblTransactions[AmountCAD],tblTransactions[Month],B15,tblTransactions[Type],"BUY")</x:f>
        <x:v>2054</x:v>
      </x:c>
      <x:c r="F15" s="18" t="n">
        <x:f>1*SUMIFS(tblTransactions[AmountCAD],tblTransactions[Month],B15,tblTransactions[Type],"SELL")</x:f>
        <x:v>0</x:v>
      </x:c>
      <x:c r="G15" s="18" t="n">
        <x:f>-1*SUMIFS(tblTransactions[AmountCAD],tblTransactions[Month],B15,tblTransactions[Type],"NRT")</x:f>
        <x:v>0</x:v>
      </x:c>
      <x:c r="H15" s="18" t="n">
        <x:f>SUMIF(tblTransactions[Month],B15,tblTransactions[AmountCAD])</x:f>
        <x:v>-19.489999999999952</x:v>
      </x:c>
      <x:c r="I15" s="18" t="n">
        <x:f>SUM($H$6:H15)</x:f>
        <x:v>61.11000000000132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2" t="str">
        <x:v>2025-05</x:v>
      </x:c>
      <x:c r="C16" s="18" t="n">
        <x:f>1*SUMIFS(tblTransactions[AmountCAD],tblTransactions[Month],B16,tblTransactions[Type],"CONT")</x:f>
        <x:v>0</x:v>
      </x:c>
      <x:c r="D16" s="18" t="n">
        <x:f>1*SUMIFS(tblTransactions[AmountCAD],tblTransactions[Month],B16,tblTransactions[Type],"DIV")</x:f>
        <x:v>22.240000000000002</x:v>
      </x:c>
      <x:c r="E16" s="18" t="n">
        <x:f>-1*SUMIFS(tblTransactions[AmountCAD],tblTransactions[Month],B16,tblTransactions[Type],"BUY")</x:f>
        <x:v>22.15</x:v>
      </x:c>
      <x:c r="F16" s="18" t="n">
        <x:f>1*SUMIFS(tblTransactions[AmountCAD],tblTransactions[Month],B16,tblTransactions[Type],"SELL")</x:f>
        <x:v>0</x:v>
      </x:c>
      <x:c r="G16" s="18" t="n">
        <x:f>-1*SUMIFS(tblTransactions[AmountCAD],tblTransactions[Month],B16,tblTransactions[Type],"NRT")</x:f>
        <x:v>0.08</x:v>
      </x:c>
      <x:c r="H16" s="18" t="n">
        <x:f>SUMIF(tblTransactions[Month],B16,tblTransactions[AmountCAD])</x:f>
        <x:v>0.009999999999999787</x:v>
      </x:c>
      <x:c r="I16" s="18" t="n">
        <x:f>SUM($H$6:H16)</x:f>
        <x:v>61.12000000000132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2" t="str">
        <x:v>2025-06</x:v>
      </x:c>
      <x:c r="C17" s="18" t="n">
        <x:f>1*SUMIFS(tblTransactions[AmountCAD],tblTransactions[Month],B17,tblTransactions[Type],"CONT")</x:f>
        <x:v>0</x:v>
      </x:c>
      <x:c r="D17" s="18" t="n">
        <x:f>1*SUMIFS(tblTransactions[AmountCAD],tblTransactions[Month],B17,tblTransactions[Type],"DIV")</x:f>
        <x:v>46.99</x:v>
      </x:c>
      <x:c r="E17" s="18" t="n">
        <x:f>-1*SUMIFS(tblTransactions[AmountCAD],tblTransactions[Month],B17,tblTransactions[Type],"BUY")</x:f>
        <x:v>15.05</x:v>
      </x:c>
      <x:c r="F17" s="18" t="n">
        <x:f>1*SUMIFS(tblTransactions[AmountCAD],tblTransactions[Month],B17,tblTransactions[Type],"SELL")</x:f>
        <x:v>0</x:v>
      </x:c>
      <x:c r="G17" s="18" t="n">
        <x:f>-1*SUMIFS(tblTransactions[AmountCAD],tblTransactions[Month],B17,tblTransactions[Type],"NRT")</x:f>
        <x:v>0</x:v>
      </x:c>
      <x:c r="H17" s="18" t="n">
        <x:f>SUMIF(tblTransactions[Month],B17,tblTransactions[AmountCAD])</x:f>
        <x:v>31.94</x:v>
      </x:c>
      <x:c r="I17" s="18" t="n">
        <x:f>SUM($H$6:H17)</x:f>
        <x:v>93.06000000000132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2" t="str">
        <x:v>2025-07</x:v>
      </x:c>
      <x:c r="C18" s="18" t="n">
        <x:f>1*SUMIFS(tblTransactions[AmountCAD],tblTransactions[Month],B18,tblTransactions[Type],"CONT")</x:f>
        <x:v>0</x:v>
      </x:c>
      <x:c r="D18" s="18" t="n">
        <x:f>1*SUMIFS(tblTransactions[AmountCAD],tblTransactions[Month],B18,tblTransactions[Type],"DIV")</x:f>
        <x:v>34.550000000000004</x:v>
      </x:c>
      <x:c r="E18" s="18" t="n">
        <x:f>-1*SUMIFS(tblTransactions[AmountCAD],tblTransactions[Month],B18,tblTransactions[Type],"BUY")</x:f>
        <x:v>66.48</x:v>
      </x:c>
      <x:c r="F18" s="18" t="n">
        <x:f>1*SUMIFS(tblTransactions[AmountCAD],tblTransactions[Month],B18,tblTransactions[Type],"SELL")</x:f>
        <x:v>0</x:v>
      </x:c>
      <x:c r="G18" s="18" t="n">
        <x:f>-1*SUMIFS(tblTransactions[AmountCAD],tblTransactions[Month],B18,tblTransactions[Type],"NRT")</x:f>
        <x:v>0</x:v>
      </x:c>
      <x:c r="H18" s="18" t="n">
        <x:f>SUMIF(tblTransactions[Month],B18,tblTransactions[AmountCAD])</x:f>
        <x:v>-31.93</x:v>
      </x:c>
      <x:c r="I18" s="18" t="n">
        <x:f>SUM($H$6:H18)</x:f>
        <x:v>61.130000000001324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2" t="str">
        <x:v>2025-08</x:v>
      </x:c>
      <x:c r="C19" s="18" t="n">
        <x:f>1*SUMIFS(tblTransactions[AmountCAD],tblTransactions[Month],B19,tblTransactions[Type],"CONT")</x:f>
        <x:v>0</x:v>
      </x:c>
      <x:c r="D19" s="18" t="n">
        <x:f>1*SUMIFS(tblTransactions[AmountCAD],tblTransactions[Month],B19,tblTransactions[Type],"DIV")</x:f>
        <x:v>16.23</x:v>
      </x:c>
      <x:c r="E19" s="18" t="n">
        <x:f>-1*SUMIFS(tblTransactions[AmountCAD],tblTransactions[Month],B19,tblTransactions[Type],"BUY")</x:f>
        <x:v>1477.0700000000002</x:v>
      </x:c>
      <x:c r="F19" s="18" t="n">
        <x:f>1*SUMIFS(tblTransactions[AmountCAD],tblTransactions[Month],B19,tblTransactions[Type],"SELL")</x:f>
        <x:v>2493.5</x:v>
      </x:c>
      <x:c r="G19" s="18" t="n">
        <x:f>-1*SUMIFS(tblTransactions[AmountCAD],tblTransactions[Month],B19,tblTransactions[Type],"NRT")</x:f>
        <x:v>0.08</x:v>
      </x:c>
      <x:c r="H19" s="18" t="n">
        <x:f>SUMIF(tblTransactions[Month],B19,tblTransactions[AmountCAD])</x:f>
        <x:v>1032.5800000000004</x:v>
      </x:c>
      <x:c r="I19" s="18" t="n">
        <x:f>SUM($H$6:H19)</x:f>
        <x:v>1093.7100000000016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1" customHeight="1">
      <x:c r="A20" s="2"/>
      <x:c r="B20" s="2" t="str">
        <x:v>2025-09</x:v>
      </x:c>
      <x:c r="C20" s="18" t="n">
        <x:f>1*SUMIFS(tblTransactions[AmountCAD],tblTransactions[Month],B20,tblTransactions[Type],"CONT")</x:f>
        <x:v>0</x:v>
      </x:c>
      <x:c r="D20" s="18" t="n">
        <x:f>1*SUMIFS(tblTransactions[AmountCAD],tblTransactions[Month],B20,tblTransactions[Type],"DIV")</x:f>
        <x:v>22.46</x:v>
      </x:c>
      <x:c r="E20" s="18" t="n">
        <x:f>-1*SUMIFS(tblTransactions[AmountCAD],tblTransactions[Month],B20,tblTransactions[Type],"BUY")</x:f>
        <x:v>89.36999999999999</x:v>
      </x:c>
      <x:c r="F20" s="18" t="n">
        <x:f>1*SUMIFS(tblTransactions[AmountCAD],tblTransactions[Month],B20,tblTransactions[Type],"SELL")</x:f>
        <x:v>0</x:v>
      </x:c>
      <x:c r="G20" s="18" t="n">
        <x:f>-1*SUMIFS(tblTransactions[AmountCAD],tblTransactions[Month],B20,tblTransactions[Type],"NRT")</x:f>
        <x:v>0</x:v>
      </x:c>
      <x:c r="H20" s="18" t="n">
        <x:f>SUMIF(tblTransactions[Month],B20,tblTransactions[AmountCAD])</x:f>
        <x:v>-66.91</x:v>
      </x:c>
      <x:c r="I20" s="18" t="n">
        <x:f>SUM($H$6:H20)</x:f>
        <x:v>1026.8000000000015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1" customHeight="1">
      <x:c r="A21" s="2"/>
      <x:c r="B21" s="2" t="str">
        <x:v>2025-10</x:v>
      </x:c>
      <x:c r="C21" s="18" t="n">
        <x:f>1*SUMIFS(tblTransactions[AmountCAD],tblTransactions[Month],B21,tblTransactions[Type],"CONT")</x:f>
        <x:v>0</x:v>
      </x:c>
      <x:c r="D21" s="18" t="n">
        <x:f>1*SUMIFS(tblTransactions[AmountCAD],tblTransactions[Month],B21,tblTransactions[Type],"DIV")</x:f>
        <x:v>30.189999999999998</x:v>
      </x:c>
      <x:c r="E21" s="18" t="n">
        <x:f>-1*SUMIFS(tblTransactions[AmountCAD],tblTransactions[Month],B21,tblTransactions[Type],"BUY")</x:f>
        <x:v>970.0400000000001</x:v>
      </x:c>
      <x:c r="F21" s="18" t="n">
        <x:f>1*SUMIFS(tblTransactions[AmountCAD],tblTransactions[Month],B21,tblTransactions[Type],"SELL")</x:f>
        <x:v>499.4</x:v>
      </x:c>
      <x:c r="G21" s="18" t="n">
        <x:f>-1*SUMIFS(tblTransactions[AmountCAD],tblTransactions[Month],B21,tblTransactions[Type],"NRT")</x:f>
        <x:v>0</x:v>
      </x:c>
      <x:c r="H21" s="18" t="n">
        <x:f>SUMIF(tblTransactions[Month],B21,tblTransactions[AmountCAD])</x:f>
        <x:v>-440.45000000000005</x:v>
      </x:c>
      <x:c r="I21" s="18" t="n">
        <x:f>SUM($H$6:H21)</x:f>
        <x:v>586.3500000000015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  <x:drawing xmlns:r="http://schemas.openxmlformats.org/officeDocument/2006/relationships" r:id="Re0bc57713e17492b"/>
  <x:tableParts count="1">
    <x:tablePart xmlns:r="http://schemas.openxmlformats.org/officeDocument/2006/relationships" r:id="Rea92f928c11e417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8" hidden="0" customWidth="1"/>
    <x:col min="12" max="12" width="16" hidden="0" customWidth="1"/>
    <x:col min="13" max="13" width="85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Transaction ledger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CAD settlement cash flows. Rows are in statement order; add new records at the end.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15" t="str">
        <x:v>RecordID</x:v>
      </x:c>
      <x:c r="C5" s="15" t="str">
        <x:v>Date</x:v>
      </x:c>
      <x:c r="D5" s="15" t="str">
        <x:v>TradeDate</x:v>
      </x:c>
      <x:c r="E5" s="15" t="str">
        <x:v>SecurityID</x:v>
      </x:c>
      <x:c r="F5" s="15" t="str">
        <x:v>Type</x:v>
      </x:c>
      <x:c r="G5" s="15" t="str">
        <x:v>Quantity</x:v>
      </x:c>
      <x:c r="H5" s="15" t="str">
        <x:v>AmountCAD</x:v>
      </x:c>
      <x:c r="I5" s="15" t="str">
        <x:v>Currency</x:v>
      </x:c>
      <x:c r="J5" s="15" t="str">
        <x:v>StatementBalance</x:v>
      </x:c>
      <x:c r="K5" s="15" t="str">
        <x:v>SourceFile</x:v>
      </x:c>
      <x:c r="L5" s="15" t="str">
        <x:v>SourceRow</x:v>
      </x:c>
      <x:c r="M5" s="15" t="str">
        <x:v>Description</x:v>
      </x:c>
      <x:c r="N5" s="15" t="str">
        <x:v>Status</x:v>
      </x:c>
      <x:c r="O5" s="15" t="str">
        <x:v>SignedQty</x:v>
      </x:c>
      <x:c r="P5" s="15" t="str">
        <x:v>PriorQty</x:v>
      </x:c>
      <x:c r="Q5" s="15" t="str">
        <x:v>PriorCostCAD</x:v>
      </x:c>
      <x:c r="R5" s="15" t="str">
        <x:v>AverageCostCAD</x:v>
      </x:c>
      <x:c r="S5" s="15" t="str">
        <x:v>CostChangeCAD</x:v>
      </x:c>
      <x:c r="T5" s="15" t="str">
        <x:v>RealizedCAD</x:v>
      </x:c>
      <x:c r="U5" s="15" t="str">
        <x:v>EndingQty</x:v>
      </x:c>
      <x:c r="V5" s="15" t="str">
        <x:v>EndingCostCAD</x:v>
      </x:c>
      <x:c r="W5" s="15" t="str">
        <x:v>DividendCAD</x:v>
      </x:c>
      <x:c r="X5" s="15" t="str">
        <x:v>ContributionCAD</x:v>
      </x:c>
      <x:c r="Y5" s="15" t="str">
        <x:v>Month</x:v>
      </x:c>
      <x:c r="Z5" s="15" t="str">
        <x:v>LedgerStatus</x:v>
      </x:c>
    </x:row>
    <x:row r="6" ht="21" customHeight="1">
      <x:c r="A6" s="2"/>
      <x:c r="B6" s="2" t="str">
        <x:v>d287703271cc7d27c5d5</x:v>
      </x:c>
      <x:c r="C6" s="16" t="d">
        <x:v>2024-07-03T00:00:00.000Z</x:v>
      </x:c>
      <x:c r="D6" s="16" t="d">
        <x:v>2024-07-03T00:00:00.000Z</x:v>
      </x:c>
      <x:c r="E6" s="2" t="str"/>
      <x:c r="F6" s="2" t="str">
        <x:v>CONT</x:v>
      </x:c>
      <x:c r="G6" s="17" t="n">
        <x:v>0</x:v>
      </x:c>
      <x:c r="H6" s="18" t="n">
        <x:v>100</x:v>
      </x:c>
      <x:c r="I6" s="18" t="str">
        <x:v>CAD</x:v>
      </x:c>
      <x:c r="J6" s="18" t="n">
        <x:v>100</x:v>
      </x:c>
      <x:c r="K6" s="2" t="str">
        <x:v>TFSA-monthly-statement-transactions-DEMO_CAD-2024-07-01.csv</x:v>
      </x:c>
      <x:c r="L6" s="2" t="n">
        <x:v>2</x:v>
      </x:c>
      <x:c r="M6" s="2" t="str">
        <x:v>Contribution (executed at 2024-07-03)</x:v>
      </x:c>
      <x:c r="N6" s="2" t="str">
        <x:v>Imported</x:v>
      </x:c>
      <x:c r="O6" s="17" t="n">
        <x:f>IF(F6="BUY",G6,IF(F6="SELL",-G6,IF(AND(F6="STKREORG",N6="Applied 4-for-1 CDR split"),G6,0)))</x:f>
        <x:v>0</x:v>
      </x:c>
      <x:c r="P6" s="17" t="n">
        <x:f>0</x:f>
        <x:v>0</x:v>
      </x:c>
      <x:c r="Q6" s="18" t="n">
        <x:f>0</x:f>
        <x:v>0</x:v>
      </x:c>
      <x:c r="R6" s="18" t="n">
        <x:f>IF(P6&gt;0,Q6/P6,0)</x:f>
        <x:v>0</x:v>
      </x:c>
      <x:c r="S6" s="18" t="n">
        <x:f>IF(F6="BUY",-H6,IF(F6="SELL",-G6*R6,0))</x:f>
        <x:v>0</x:v>
      </x:c>
      <x:c r="T6" s="18" t="n">
        <x:f>IF(F6="SELL",IF(G6&gt;P6+0.000001,"REVIEW",H6-G6*R6),0)</x:f>
        <x:v>0</x:v>
      </x:c>
      <x:c r="U6" s="17" t="n">
        <x:f>P6+O6</x:f>
        <x:v>0</x:v>
      </x:c>
      <x:c r="V6" s="18" t="n">
        <x:f>Q6+S6</x:f>
        <x:v>0</x:v>
      </x:c>
      <x:c r="W6" s="18" t="n">
        <x:f>IF(F6="DIV",H6,0)</x:f>
        <x:v>0</x:v>
      </x:c>
      <x:c r="X6" s="18" t="n">
        <x:f>IF(F6="CONT",H6,0)</x:f>
        <x:v>100</x:v>
      </x:c>
      <x:c r="Y6" s="2" t="str">
        <x:f>TEXT(C6,"yyyy-mm")</x:f>
        <x:v>2024-07</x:v>
      </x:c>
      <x:c r="Z6" s="2" t="str">
        <x:f>IF(OR(AND(F6="STKREORG",N6&lt;&gt;"Applied 4-for-1 CDR split"),AND(F6="SELL",G6&gt;P6+0.000001)),"REVIEW","OK")</x:f>
        <x:v>OK</x:v>
      </x:c>
    </x:row>
    <x:row r="7" ht="21" customHeight="1">
      <x:c r="A7" s="2"/>
      <x:c r="B7" s="2" t="str">
        <x:v>148315b92a61e9e34b67</x:v>
      </x:c>
      <x:c r="C7" s="16" t="d">
        <x:v>2024-07-03T00:00:00.000Z</x:v>
      </x:c>
      <x:c r="D7" s="16" t="d">
        <x:v>2024-07-03T00:00:00.000Z</x:v>
      </x:c>
      <x:c r="E7" s="2" t="str"/>
      <x:c r="F7" s="2" t="str">
        <x:v>CONT</x:v>
      </x:c>
      <x:c r="G7" s="17" t="n">
        <x:v>0</x:v>
      </x:c>
      <x:c r="H7" s="18" t="n">
        <x:v>800</x:v>
      </x:c>
      <x:c r="I7" s="18" t="str">
        <x:v>CAD</x:v>
      </x:c>
      <x:c r="J7" s="18" t="n">
        <x:v>900</x:v>
      </x:c>
      <x:c r="K7" s="2" t="str">
        <x:v>TFSA-monthly-statement-transactions-DEMO_CAD-2024-07-01.csv</x:v>
      </x:c>
      <x:c r="L7" s="2" t="n">
        <x:v>3</x:v>
      </x:c>
      <x:c r="M7" s="2" t="str">
        <x:v>Contribution (executed at 2024-07-03)</x:v>
      </x:c>
      <x:c r="N7" s="2" t="str">
        <x:v>Imported</x:v>
      </x:c>
      <x:c r="O7" s="17" t="n">
        <x:f>IF(F7="BUY",G7,IF(F7="SELL",-G7,IF(AND(F7="STKREORG",N7="Applied 4-for-1 CDR split"),G7,0)))</x:f>
        <x:v>0</x:v>
      </x:c>
      <x:c r="P7" s="17" t="n">
        <x:f>SUMIF($E$6:E6,E7,$O$6:O6)</x:f>
        <x:v>0</x:v>
      </x:c>
      <x:c r="Q7" s="18" t="n">
        <x:f>SUMIF($E$6:E6,E7,$S$6:S6)</x:f>
        <x:v>0</x:v>
      </x:c>
      <x:c r="R7" s="18" t="n">
        <x:f>IF(P7&gt;0,Q7/P7,0)</x:f>
        <x:v>0</x:v>
      </x:c>
      <x:c r="S7" s="18" t="n">
        <x:f>IF(F7="BUY",-H7,IF(F7="SELL",-G7*R7,0))</x:f>
        <x:v>0</x:v>
      </x:c>
      <x:c r="T7" s="18" t="n">
        <x:f>IF(F7="SELL",IF(G7&gt;P7+0.000001,"REVIEW",H7-G7*R7),0)</x:f>
        <x:v>0</x:v>
      </x:c>
      <x:c r="U7" s="17" t="n">
        <x:f>P7+O7</x:f>
        <x:v>0</x:v>
      </x:c>
      <x:c r="V7" s="18" t="n">
        <x:f>Q7+S7</x:f>
        <x:v>0</x:v>
      </x:c>
      <x:c r="W7" s="18" t="n">
        <x:f>IF(F7="DIV",H7,0)</x:f>
        <x:v>0</x:v>
      </x:c>
      <x:c r="X7" s="18" t="n">
        <x:f>IF(F7="CONT",H7,0)</x:f>
        <x:v>800</x:v>
      </x:c>
      <x:c r="Y7" s="2" t="str">
        <x:f>TEXT(C7,"yyyy-mm")</x:f>
        <x:v>2024-07</x:v>
      </x:c>
      <x:c r="Z7" s="2" t="str">
        <x:f>IF(OR(AND(F7="STKREORG",N7&lt;&gt;"Applied 4-for-1 CDR split"),AND(F7="SELL",G7&gt;P7+0.000001)),"REVIEW","OK")</x:f>
        <x:v>OK</x:v>
      </x:c>
    </x:row>
    <x:row r="8" ht="21" customHeight="1">
      <x:c r="A8" s="2"/>
      <x:c r="B8" s="2" t="str">
        <x:v>0085ad83ef8b6c71851e</x:v>
      </x:c>
      <x:c r="C8" s="16" t="d">
        <x:v>2024-07-04T00:00:00.000Z</x:v>
      </x:c>
      <x:c r="D8" s="16" t="d">
        <x:v>2024-07-03T00:00:00.000Z</x:v>
      </x:c>
      <x:c r="E8" s="2" t="str">
        <x:v>XEQT_ORD</x:v>
      </x:c>
      <x:c r="F8" s="2" t="str">
        <x:v>BUY</x:v>
      </x:c>
      <x:c r="G8" s="17" t="n">
        <x:v>1</x:v>
      </x:c>
      <x:c r="H8" s="18" t="n">
        <x:v>-30.83</x:v>
      </x:c>
      <x:c r="I8" s="18" t="str">
        <x:v>CAD</x:v>
      </x:c>
      <x:c r="J8" s="18" t="n">
        <x:v>869.17</x:v>
      </x:c>
      <x:c r="K8" s="2" t="str">
        <x:v>TFSA-monthly-statement-transactions-DEMO_CAD-2024-07-01.csv</x:v>
      </x:c>
      <x:c r="L8" s="2" t="n">
        <x:v>4</x:v>
      </x:c>
      <x:c r="M8" s="2" t="str">
        <x:v>XEQT - iShares Core Equity ETF Portfolio: Bought 1.0000 shares (executed at 2024-07-03)</x:v>
      </x:c>
      <x:c r="N8" s="2" t="str">
        <x:v>Imported</x:v>
      </x:c>
      <x:c r="O8" s="17" t="n">
        <x:f>IF(F8="BUY",G8,IF(F8="SELL",-G8,IF(AND(F8="STKREORG",N8="Applied 4-for-1 CDR split"),G8,0)))</x:f>
        <x:v>1</x:v>
      </x:c>
      <x:c r="P8" s="17" t="n">
        <x:f>SUMIF($E$6:E7,E8,$O$6:O7)</x:f>
        <x:v>0</x:v>
      </x:c>
      <x:c r="Q8" s="18" t="n">
        <x:f>SUMIF($E$6:E7,E8,$S$6:S7)</x:f>
        <x:v>0</x:v>
      </x:c>
      <x:c r="R8" s="18" t="n">
        <x:f>IF(P8&gt;0,Q8/P8,0)</x:f>
        <x:v>0</x:v>
      </x:c>
      <x:c r="S8" s="18" t="n">
        <x:f>IF(F8="BUY",-H8,IF(F8="SELL",-G8*R8,0))</x:f>
        <x:v>30.83</x:v>
      </x:c>
      <x:c r="T8" s="18" t="n">
        <x:f>IF(F8="SELL",IF(G8&gt;P8+0.000001,"REVIEW",H8-G8*R8),0)</x:f>
        <x:v>0</x:v>
      </x:c>
      <x:c r="U8" s="17" t="n">
        <x:f>P8+O8</x:f>
        <x:v>1</x:v>
      </x:c>
      <x:c r="V8" s="18" t="n">
        <x:f>Q8+S8</x:f>
        <x:v>30.83</x:v>
      </x:c>
      <x:c r="W8" s="18" t="n">
        <x:f>IF(F8="DIV",H8,0)</x:f>
        <x:v>0</x:v>
      </x:c>
      <x:c r="X8" s="18" t="n">
        <x:f>IF(F8="CONT",H8,0)</x:f>
        <x:v>0</x:v>
      </x:c>
      <x:c r="Y8" s="2" t="str">
        <x:f>TEXT(C8,"yyyy-mm")</x:f>
        <x:v>2024-07</x:v>
      </x:c>
      <x:c r="Z8" s="2" t="str">
        <x:f>IF(OR(AND(F8="STKREORG",N8&lt;&gt;"Applied 4-for-1 CDR split"),AND(F8="SELL",G8&gt;P8+0.000001)),"REVIEW","OK")</x:f>
        <x:v>OK</x:v>
      </x:c>
    </x:row>
    <x:row r="9" ht="21" customHeight="1">
      <x:c r="A9" s="2"/>
      <x:c r="B9" s="2" t="str">
        <x:v>5d152a2d5616de0489ba</x:v>
      </x:c>
      <x:c r="C9" s="16" t="d">
        <x:v>2024-07-04T00:00:00.000Z</x:v>
      </x:c>
      <x:c r="D9" s="16" t="d">
        <x:v>2024-07-03T00:00:00.000Z</x:v>
      </x:c>
      <x:c r="E9" s="2" t="str">
        <x:v>VFV_ORD</x:v>
      </x:c>
      <x:c r="F9" s="2" t="str">
        <x:v>BUY</x:v>
      </x:c>
      <x:c r="G9" s="17" t="n">
        <x:v>0.2507</x:v>
      </x:c>
      <x:c r="H9" s="18" t="n">
        <x:v>-33.4</x:v>
      </x:c>
      <x:c r="I9" s="18" t="str">
        <x:v>CAD</x:v>
      </x:c>
      <x:c r="J9" s="18" t="n">
        <x:v>835.77</x:v>
      </x:c>
      <x:c r="K9" s="2" t="str">
        <x:v>TFSA-monthly-statement-transactions-DEMO_CAD-2024-07-01.csv</x:v>
      </x:c>
      <x:c r="L9" s="2" t="n">
        <x:v>5</x:v>
      </x:c>
      <x:c r="M9" s="2" t="str">
        <x:v>VFV - Vanguard S&amp;P 500 Index ETF: Bought 0.2507 shares (executed at 2024-07-03)</x:v>
      </x:c>
      <x:c r="N9" s="2" t="str">
        <x:v>Imported</x:v>
      </x:c>
      <x:c r="O9" s="17" t="n">
        <x:f>IF(F9="BUY",G9,IF(F9="SELL",-G9,IF(AND(F9="STKREORG",N9="Applied 4-for-1 CDR split"),G9,0)))</x:f>
        <x:v>0.2507</x:v>
      </x:c>
      <x:c r="P9" s="17" t="n">
        <x:f>SUMIF($E$6:E8,E9,$O$6:O8)</x:f>
        <x:v>0</x:v>
      </x:c>
      <x:c r="Q9" s="18" t="n">
        <x:f>SUMIF($E$6:E8,E9,$S$6:S8)</x:f>
        <x:v>0</x:v>
      </x:c>
      <x:c r="R9" s="18" t="n">
        <x:f>IF(P9&gt;0,Q9/P9,0)</x:f>
        <x:v>0</x:v>
      </x:c>
      <x:c r="S9" s="18" t="n">
        <x:f>IF(F9="BUY",-H9,IF(F9="SELL",-G9*R9,0))</x:f>
        <x:v>33.4</x:v>
      </x:c>
      <x:c r="T9" s="18" t="n">
        <x:f>IF(F9="SELL",IF(G9&gt;P9+0.000001,"REVIEW",H9-G9*R9),0)</x:f>
        <x:v>0</x:v>
      </x:c>
      <x:c r="U9" s="17" t="n">
        <x:f>P9+O9</x:f>
        <x:v>0.2507</x:v>
      </x:c>
      <x:c r="V9" s="18" t="n">
        <x:f>Q9+S9</x:f>
        <x:v>33.4</x:v>
      </x:c>
      <x:c r="W9" s="18" t="n">
        <x:f>IF(F9="DIV",H9,0)</x:f>
        <x:v>0</x:v>
      </x:c>
      <x:c r="X9" s="18" t="n">
        <x:f>IF(F9="CONT",H9,0)</x:f>
        <x:v>0</x:v>
      </x:c>
      <x:c r="Y9" s="2" t="str">
        <x:f>TEXT(C9,"yyyy-mm")</x:f>
        <x:v>2024-07</x:v>
      </x:c>
      <x:c r="Z9" s="2" t="str">
        <x:f>IF(OR(AND(F9="STKREORG",N9&lt;&gt;"Applied 4-for-1 CDR split"),AND(F9="SELL",G9&gt;P9+0.000001)),"REVIEW","OK")</x:f>
        <x:v>OK</x:v>
      </x:c>
    </x:row>
    <x:row r="10" ht="21" customHeight="1">
      <x:c r="A10" s="2"/>
      <x:c r="B10" s="2" t="str">
        <x:v>d3a2082f190bccc1a0bd</x:v>
      </x:c>
      <x:c r="C10" s="16" t="d">
        <x:v>2024-07-04T00:00:00.000Z</x:v>
      </x:c>
      <x:c r="D10" s="16" t="d">
        <x:v>2024-07-03T00:00:00.000Z</x:v>
      </x:c>
      <x:c r="E10" s="2" t="str">
        <x:v>XEQT_ORD</x:v>
      </x:c>
      <x:c r="F10" s="2" t="str">
        <x:v>BUY</x:v>
      </x:c>
      <x:c r="G10" s="17" t="n">
        <x:v>1.1566</x:v>
      </x:c>
      <x:c r="H10" s="18" t="n">
        <x:v>-35.77</x:v>
      </x:c>
      <x:c r="I10" s="18" t="str">
        <x:v>CAD</x:v>
      </x:c>
      <x:c r="J10" s="18" t="n">
        <x:v>800</x:v>
      </x:c>
      <x:c r="K10" s="2" t="str">
        <x:v>TFSA-monthly-statement-transactions-DEMO_CAD-2024-07-01.csv</x:v>
      </x:c>
      <x:c r="L10" s="2" t="n">
        <x:v>6</x:v>
      </x:c>
      <x:c r="M10" s="2" t="str">
        <x:v>XEQT - iShares Core Equity ETF Portfolio: Bought 1.1566 shares (executed at 2024-07-03)</x:v>
      </x:c>
      <x:c r="N10" s="2" t="str">
        <x:v>Imported</x:v>
      </x:c>
      <x:c r="O10" s="17" t="n">
        <x:f>IF(F10="BUY",G10,IF(F10="SELL",-G10,IF(AND(F10="STKREORG",N10="Applied 4-for-1 CDR split"),G10,0)))</x:f>
        <x:v>1.1566</x:v>
      </x:c>
      <x:c r="P10" s="17" t="n">
        <x:f>SUMIF($E$6:E9,E10,$O$6:O9)</x:f>
        <x:v>1</x:v>
      </x:c>
      <x:c r="Q10" s="18" t="n">
        <x:f>SUMIF($E$6:E9,E10,$S$6:S9)</x:f>
        <x:v>30.83</x:v>
      </x:c>
      <x:c r="R10" s="18" t="n">
        <x:f>IF(P10&gt;0,Q10/P10,0)</x:f>
        <x:v>30.83</x:v>
      </x:c>
      <x:c r="S10" s="18" t="n">
        <x:f>IF(F10="BUY",-H10,IF(F10="SELL",-G10*R10,0))</x:f>
        <x:v>35.77</x:v>
      </x:c>
      <x:c r="T10" s="18" t="n">
        <x:f>IF(F10="SELL",IF(G10&gt;P10+0.000001,"REVIEW",H10-G10*R10),0)</x:f>
        <x:v>0</x:v>
      </x:c>
      <x:c r="U10" s="17" t="n">
        <x:f>P10+O10</x:f>
        <x:v>2.1566</x:v>
      </x:c>
      <x:c r="V10" s="18" t="n">
        <x:f>Q10+S10</x:f>
        <x:v>66.6</x:v>
      </x:c>
      <x:c r="W10" s="18" t="n">
        <x:f>IF(F10="DIV",H10,0)</x:f>
        <x:v>0</x:v>
      </x:c>
      <x:c r="X10" s="18" t="n">
        <x:f>IF(F10="CONT",H10,0)</x:f>
        <x:v>0</x:v>
      </x:c>
      <x:c r="Y10" s="2" t="str">
        <x:f>TEXT(C10,"yyyy-mm")</x:f>
        <x:v>2024-07</x:v>
      </x:c>
      <x:c r="Z10" s="2" t="str">
        <x:f>IF(OR(AND(F10="STKREORG",N10&lt;&gt;"Applied 4-for-1 CDR split"),AND(F10="SELL",G10&gt;P10+0.000001)),"REVIEW","OK")</x:f>
        <x:v>OK</x:v>
      </x:c>
    </x:row>
    <x:row r="11" ht="21" customHeight="1">
      <x:c r="A11" s="2"/>
      <x:c r="B11" s="2" t="str">
        <x:v>599fcb44a7a56423ab93</x:v>
      </x:c>
      <x:c r="C11" s="16" t="d">
        <x:v>2024-07-04T00:00:00.000Z</x:v>
      </x:c>
      <x:c r="D11" s="16" t="d">
        <x:v>2024-07-04T00:00:00.000Z</x:v>
      </x:c>
      <x:c r="E11" s="2" t="str"/>
      <x:c r="F11" s="2" t="str">
        <x:v>REFER</x:v>
      </x:c>
      <x:c r="G11" s="17" t="n">
        <x:v>0</x:v>
      </x:c>
      <x:c r="H11" s="18" t="n">
        <x:v>25</x:v>
      </x:c>
      <x:c r="I11" s="18" t="str">
        <x:v>CAD</x:v>
      </x:c>
      <x:c r="J11" s="18" t="n">
        <x:v>825</x:v>
      </x:c>
      <x:c r="K11" s="2" t="str">
        <x:v>TFSA-monthly-statement-transactions-DEMO_CAD-2024-07-01.csv</x:v>
      </x:c>
      <x:c r="L11" s="2" t="n">
        <x:v>7</x:v>
      </x:c>
      <x:c r="M11" s="2" t="str">
        <x:v>Referral bonus (2024-07-04)</x:v>
      </x:c>
      <x:c r="N11" s="2" t="str">
        <x:v>Imported</x:v>
      </x:c>
      <x:c r="O11" s="17" t="n">
        <x:f>IF(F11="BUY",G11,IF(F11="SELL",-G11,IF(AND(F11="STKREORG",N11="Applied 4-for-1 CDR split"),G11,0)))</x:f>
        <x:v>0</x:v>
      </x:c>
      <x:c r="P11" s="17" t="n">
        <x:f>SUMIF($E$6:E10,E11,$O$6:O10)</x:f>
        <x:v>0</x:v>
      </x:c>
      <x:c r="Q11" s="18" t="n">
        <x:f>SUMIF($E$6:E10,E11,$S$6:S10)</x:f>
        <x:v>0</x:v>
      </x:c>
      <x:c r="R11" s="18" t="n">
        <x:f>IF(P11&gt;0,Q11/P11,0)</x:f>
        <x:v>0</x:v>
      </x:c>
      <x:c r="S11" s="18" t="n">
        <x:f>IF(F11="BUY",-H11,IF(F11="SELL",-G11*R11,0))</x:f>
        <x:v>0</x:v>
      </x:c>
      <x:c r="T11" s="18" t="n">
        <x:f>IF(F11="SELL",IF(G11&gt;P11+0.000001,"REVIEW",H11-G11*R11),0)</x:f>
        <x:v>0</x:v>
      </x:c>
      <x:c r="U11" s="17" t="n">
        <x:f>P11+O11</x:f>
        <x:v>0</x:v>
      </x:c>
      <x:c r="V11" s="18" t="n">
        <x:f>Q11+S11</x:f>
        <x:v>0</x:v>
      </x:c>
      <x:c r="W11" s="18" t="n">
        <x:f>IF(F11="DIV",H11,0)</x:f>
        <x:v>0</x:v>
      </x:c>
      <x:c r="X11" s="18" t="n">
        <x:f>IF(F11="CONT",H11,0)</x:f>
        <x:v>0</x:v>
      </x:c>
      <x:c r="Y11" s="2" t="str">
        <x:f>TEXT(C11,"yyyy-mm")</x:f>
        <x:v>2024-07</x:v>
      </x:c>
      <x:c r="Z11" s="2" t="str">
        <x:f>IF(OR(AND(F11="STKREORG",N11&lt;&gt;"Applied 4-for-1 CDR split"),AND(F11="SELL",G11&gt;P11+0.000001)),"REVIEW","OK")</x:f>
        <x:v>OK</x:v>
      </x:c>
    </x:row>
    <x:row r="12" ht="21" customHeight="1">
      <x:c r="A12" s="2"/>
      <x:c r="B12" s="2" t="str">
        <x:v>2be3d8bdb5485a68b1c3</x:v>
      </x:c>
      <x:c r="C12" s="16" t="d">
        <x:v>2024-07-04T00:00:00.000Z</x:v>
      </x:c>
      <x:c r="D12" s="16" t="d">
        <x:v>2024-07-04T00:00:00.000Z</x:v>
      </x:c>
      <x:c r="E12" s="2" t="str"/>
      <x:c r="F12" s="2" t="str">
        <x:v>CONT</x:v>
      </x:c>
      <x:c r="G12" s="17" t="n">
        <x:v>0</x:v>
      </x:c>
      <x:c r="H12" s="18" t="n">
        <x:v>1000</x:v>
      </x:c>
      <x:c r="I12" s="18" t="str">
        <x:v>CAD</x:v>
      </x:c>
      <x:c r="J12" s="18" t="n">
        <x:v>1825</x:v>
      </x:c>
      <x:c r="K12" s="2" t="str">
        <x:v>TFSA-monthly-statement-transactions-DEMO_CAD-2024-07-01.csv</x:v>
      </x:c>
      <x:c r="L12" s="2" t="n">
        <x:v>8</x:v>
      </x:c>
      <x:c r="M12" s="2" t="str">
        <x:v>Contribution (executed at 2024-07-04)</x:v>
      </x:c>
      <x:c r="N12" s="2" t="str">
        <x:v>Imported</x:v>
      </x:c>
      <x:c r="O12" s="17" t="n">
        <x:f>IF(F12="BUY",G12,IF(F12="SELL",-G12,IF(AND(F12="STKREORG",N12="Applied 4-for-1 CDR split"),G12,0)))</x:f>
        <x:v>0</x:v>
      </x:c>
      <x:c r="P12" s="17" t="n">
        <x:f>SUMIF($E$6:E11,E12,$O$6:O11)</x:f>
        <x:v>0</x:v>
      </x:c>
      <x:c r="Q12" s="18" t="n">
        <x:f>SUMIF($E$6:E11,E12,$S$6:S11)</x:f>
        <x:v>0</x:v>
      </x:c>
      <x:c r="R12" s="18" t="n">
        <x:f>IF(P12&gt;0,Q12/P12,0)</x:f>
        <x:v>0</x:v>
      </x:c>
      <x:c r="S12" s="18" t="n">
        <x:f>IF(F12="BUY",-H12,IF(F12="SELL",-G12*R12,0))</x:f>
        <x:v>0</x:v>
      </x:c>
      <x:c r="T12" s="18" t="n">
        <x:f>IF(F12="SELL",IF(G12&gt;P12+0.000001,"REVIEW",H12-G12*R12),0)</x:f>
        <x:v>0</x:v>
      </x:c>
      <x:c r="U12" s="17" t="n">
        <x:f>P12+O12</x:f>
        <x:v>0</x:v>
      </x:c>
      <x:c r="V12" s="18" t="n">
        <x:f>Q12+S12</x:f>
        <x:v>0</x:v>
      </x:c>
      <x:c r="W12" s="18" t="n">
        <x:f>IF(F12="DIV",H12,0)</x:f>
        <x:v>0</x:v>
      </x:c>
      <x:c r="X12" s="18" t="n">
        <x:f>IF(F12="CONT",H12,0)</x:f>
        <x:v>1000</x:v>
      </x:c>
      <x:c r="Y12" s="2" t="str">
        <x:f>TEXT(C12,"yyyy-mm")</x:f>
        <x:v>2024-07</x:v>
      </x:c>
      <x:c r="Z12" s="2" t="str">
        <x:f>IF(OR(AND(F12="STKREORG",N12&lt;&gt;"Applied 4-for-1 CDR split"),AND(F12="SELL",G12&gt;P12+0.000001)),"REVIEW","OK")</x:f>
        <x:v>OK</x:v>
      </x:c>
    </x:row>
    <x:row r="13" ht="21" customHeight="1">
      <x:c r="A13" s="2"/>
      <x:c r="B13" s="2" t="str">
        <x:v>446ebe5b0eb47ff00cae</x:v>
      </x:c>
      <x:c r="C13" s="16" t="d">
        <x:v>2024-07-05T00:00:00.000Z</x:v>
      </x:c>
      <x:c r="D13" s="16" t="d">
        <x:v>2024-07-04T00:00:00.000Z</x:v>
      </x:c>
      <x:c r="E13" s="2" t="str">
        <x:v>XEQT_ORD</x:v>
      </x:c>
      <x:c r="F13" s="2" t="str">
        <x:v>BUY</x:v>
      </x:c>
      <x:c r="G13" s="17" t="n">
        <x:v>25.7815</x:v>
      </x:c>
      <x:c r="H13" s="18" t="n">
        <x:v>-800</x:v>
      </x:c>
      <x:c r="I13" s="18" t="str">
        <x:v>CAD</x:v>
      </x:c>
      <x:c r="J13" s="18" t="n">
        <x:v>1025</x:v>
      </x:c>
      <x:c r="K13" s="2" t="str">
        <x:v>TFSA-monthly-statement-transactions-DEMO_CAD-2024-07-01.csv</x:v>
      </x:c>
      <x:c r="L13" s="2" t="n">
        <x:v>9</x:v>
      </x:c>
      <x:c r="M13" s="2" t="str">
        <x:v>XEQT - iShares Core Equity ETF Portfolio: Bought 25.7815 shares (executed at 2024-07-04)</x:v>
      </x:c>
      <x:c r="N13" s="2" t="str">
        <x:v>Imported</x:v>
      </x:c>
      <x:c r="O13" s="17" t="n">
        <x:f>IF(F13="BUY",G13,IF(F13="SELL",-G13,IF(AND(F13="STKREORG",N13="Applied 4-for-1 CDR split"),G13,0)))</x:f>
        <x:v>25.7815</x:v>
      </x:c>
      <x:c r="P13" s="17" t="n">
        <x:f>SUMIF($E$6:E12,E13,$O$6:O12)</x:f>
        <x:v>2.1566</x:v>
      </x:c>
      <x:c r="Q13" s="18" t="n">
        <x:f>SUMIF($E$6:E12,E13,$S$6:S12)</x:f>
        <x:v>66.6</x:v>
      </x:c>
      <x:c r="R13" s="18" t="n">
        <x:f>IF(P13&gt;0,Q13/P13,0)</x:f>
        <x:v>30.881943800426594</x:v>
      </x:c>
      <x:c r="S13" s="18" t="n">
        <x:f>IF(F13="BUY",-H13,IF(F13="SELL",-G13*R13,0))</x:f>
        <x:v>800</x:v>
      </x:c>
      <x:c r="T13" s="18" t="n">
        <x:f>IF(F13="SELL",IF(G13&gt;P13+0.000001,"REVIEW",H13-G13*R13),0)</x:f>
        <x:v>0</x:v>
      </x:c>
      <x:c r="U13" s="17" t="n">
        <x:f>P13+O13</x:f>
        <x:v>27.938100000000002</x:v>
      </x:c>
      <x:c r="V13" s="18" t="n">
        <x:f>Q13+S13</x:f>
        <x:v>866.6</x:v>
      </x:c>
      <x:c r="W13" s="18" t="n">
        <x:f>IF(F13="DIV",H13,0)</x:f>
        <x:v>0</x:v>
      </x:c>
      <x:c r="X13" s="18" t="n">
        <x:f>IF(F13="CONT",H13,0)</x:f>
        <x:v>0</x:v>
      </x:c>
      <x:c r="Y13" s="2" t="str">
        <x:f>TEXT(C13,"yyyy-mm")</x:f>
        <x:v>2024-07</x:v>
      </x:c>
      <x:c r="Z13" s="2" t="str">
        <x:f>IF(OR(AND(F13="STKREORG",N13&lt;&gt;"Applied 4-for-1 CDR split"),AND(F13="SELL",G13&gt;P13+0.000001)),"REVIEW","OK")</x:f>
        <x:v>OK</x:v>
      </x:c>
    </x:row>
    <x:row r="14" ht="21" customHeight="1">
      <x:c r="A14" s="2"/>
      <x:c r="B14" s="2" t="str">
        <x:v>66acd97859a9a8b52d42</x:v>
      </x:c>
      <x:c r="C14" s="16" t="d">
        <x:v>2024-07-05T00:00:00.000Z</x:v>
      </x:c>
      <x:c r="D14" s="16" t="d">
        <x:v>2024-07-04T00:00:00.000Z</x:v>
      </x:c>
      <x:c r="E14" s="2" t="str">
        <x:v>TEC_ORD</x:v>
      </x:c>
      <x:c r="F14" s="2" t="str">
        <x:v>BUY</x:v>
      </x:c>
      <x:c r="G14" s="17" t="n">
        <x:v>0.6109</x:v>
      </x:c>
      <x:c r="H14" s="18" t="n">
        <x:v>-25</x:v>
      </x:c>
      <x:c r="I14" s="18" t="str">
        <x:v>CAD</x:v>
      </x:c>
      <x:c r="J14" s="18" t="n">
        <x:v>1000</x:v>
      </x:c>
      <x:c r="K14" s="2" t="str">
        <x:v>TFSA-monthly-statement-transactions-DEMO_CAD-2024-07-01.csv</x:v>
      </x:c>
      <x:c r="L14" s="2" t="n">
        <x:v>10</x:v>
      </x:c>
      <x:c r="M14" s="2" t="str">
        <x:v>TEC - TD Global Tech Leaders Index ETF: Bought 0.6109 shares (executed at 2024-07-04)</x:v>
      </x:c>
      <x:c r="N14" s="2" t="str">
        <x:v>Imported</x:v>
      </x:c>
      <x:c r="O14" s="17" t="n">
        <x:f>IF(F14="BUY",G14,IF(F14="SELL",-G14,IF(AND(F14="STKREORG",N14="Applied 4-for-1 CDR split"),G14,0)))</x:f>
        <x:v>0.6109</x:v>
      </x:c>
      <x:c r="P14" s="17" t="n">
        <x:f>SUMIF($E$6:E13,E14,$O$6:O13)</x:f>
        <x:v>0</x:v>
      </x:c>
      <x:c r="Q14" s="18" t="n">
        <x:f>SUMIF($E$6:E13,E14,$S$6:S13)</x:f>
        <x:v>0</x:v>
      </x:c>
      <x:c r="R14" s="18" t="n">
        <x:f>IF(P14&gt;0,Q14/P14,0)</x:f>
        <x:v>0</x:v>
      </x:c>
      <x:c r="S14" s="18" t="n">
        <x:f>IF(F14="BUY",-H14,IF(F14="SELL",-G14*R14,0))</x:f>
        <x:v>25</x:v>
      </x:c>
      <x:c r="T14" s="18" t="n">
        <x:f>IF(F14="SELL",IF(G14&gt;P14+0.000001,"REVIEW",H14-G14*R14),0)</x:f>
        <x:v>0</x:v>
      </x:c>
      <x:c r="U14" s="17" t="n">
        <x:f>P14+O14</x:f>
        <x:v>0.6109</x:v>
      </x:c>
      <x:c r="V14" s="18" t="n">
        <x:f>Q14+S14</x:f>
        <x:v>25</x:v>
      </x:c>
      <x:c r="W14" s="18" t="n">
        <x:f>IF(F14="DIV",H14,0)</x:f>
        <x:v>0</x:v>
      </x:c>
      <x:c r="X14" s="18" t="n">
        <x:f>IF(F14="CONT",H14,0)</x:f>
        <x:v>0</x:v>
      </x:c>
      <x:c r="Y14" s="2" t="str">
        <x:f>TEXT(C14,"yyyy-mm")</x:f>
        <x:v>2024-07</x:v>
      </x:c>
      <x:c r="Z14" s="2" t="str">
        <x:f>IF(OR(AND(F14="STKREORG",N14&lt;&gt;"Applied 4-for-1 CDR split"),AND(F14="SELL",G14&gt;P14+0.000001)),"REVIEW","OK")</x:f>
        <x:v>OK</x:v>
      </x:c>
    </x:row>
    <x:row r="15" ht="21" customHeight="1">
      <x:c r="A15" s="2"/>
      <x:c r="B15" s="2" t="str">
        <x:v>78f07b3eee885157db49</x:v>
      </x:c>
      <x:c r="C15" s="16" t="d">
        <x:v>2024-07-05T00:00:00.000Z</x:v>
      </x:c>
      <x:c r="D15" s="16" t="d">
        <x:v>2024-07-05T00:00:00.000Z</x:v>
      </x:c>
      <x:c r="E15" s="2" t="str"/>
      <x:c r="F15" s="2" t="str">
        <x:v>CONT</x:v>
      </x:c>
      <x:c r="G15" s="17" t="n">
        <x:v>0</x:v>
      </x:c>
      <x:c r="H15" s="18" t="n">
        <x:v>20</x:v>
      </x:c>
      <x:c r="I15" s="18" t="str">
        <x:v>CAD</x:v>
      </x:c>
      <x:c r="J15" s="18" t="n">
        <x:v>1020</x:v>
      </x:c>
      <x:c r="K15" s="2" t="str">
        <x:v>TFSA-monthly-statement-transactions-DEMO_CAD-2024-07-01.csv</x:v>
      </x:c>
      <x:c r="L15" s="2" t="n">
        <x:v>11</x:v>
      </x:c>
      <x:c r="M15" s="2" t="str">
        <x:v>Contribution (executed at 2024-07-05)</x:v>
      </x:c>
      <x:c r="N15" s="2" t="str">
        <x:v>Imported</x:v>
      </x:c>
      <x:c r="O15" s="17" t="n">
        <x:f>IF(F15="BUY",G15,IF(F15="SELL",-G15,IF(AND(F15="STKREORG",N15="Applied 4-for-1 CDR split"),G15,0)))</x:f>
        <x:v>0</x:v>
      </x:c>
      <x:c r="P15" s="17" t="n">
        <x:f>SUMIF($E$6:E14,E15,$O$6:O14)</x:f>
        <x:v>0</x:v>
      </x:c>
      <x:c r="Q15" s="18" t="n">
        <x:f>SUMIF($E$6:E14,E15,$S$6:S14)</x:f>
        <x:v>0</x:v>
      </x:c>
      <x:c r="R15" s="18" t="n">
        <x:f>IF(P15&gt;0,Q15/P15,0)</x:f>
        <x:v>0</x:v>
      </x:c>
      <x:c r="S15" s="18" t="n">
        <x:f>IF(F15="BUY",-H15,IF(F15="SELL",-G15*R15,0))</x:f>
        <x:v>0</x:v>
      </x:c>
      <x:c r="T15" s="18" t="n">
        <x:f>IF(F15="SELL",IF(G15&gt;P15+0.000001,"REVIEW",H15-G15*R15),0)</x:f>
        <x:v>0</x:v>
      </x:c>
      <x:c r="U15" s="17" t="n">
        <x:f>P15+O15</x:f>
        <x:v>0</x:v>
      </x:c>
      <x:c r="V15" s="18" t="n">
        <x:f>Q15+S15</x:f>
        <x:v>0</x:v>
      </x:c>
      <x:c r="W15" s="18" t="n">
        <x:f>IF(F15="DIV",H15,0)</x:f>
        <x:v>0</x:v>
      </x:c>
      <x:c r="X15" s="18" t="n">
        <x:f>IF(F15="CONT",H15,0)</x:f>
        <x:v>20</x:v>
      </x:c>
      <x:c r="Y15" s="2" t="str">
        <x:f>TEXT(C15,"yyyy-mm")</x:f>
        <x:v>2024-07</x:v>
      </x:c>
      <x:c r="Z15" s="2" t="str">
        <x:f>IF(OR(AND(F15="STKREORG",N15&lt;&gt;"Applied 4-for-1 CDR split"),AND(F15="SELL",G15&gt;P15+0.000001)),"REVIEW","OK")</x:f>
        <x:v>OK</x:v>
      </x:c>
    </x:row>
    <x:row r="16" ht="21" customHeight="1">
      <x:c r="A16" s="2"/>
      <x:c r="B16" s="2" t="str">
        <x:v>260b86334282c95bf541</x:v>
      </x:c>
      <x:c r="C16" s="16" t="d">
        <x:v>2024-07-05T00:00:00.000Z</x:v>
      </x:c>
      <x:c r="D16" s="16" t="d">
        <x:v>2024-07-06T00:00:00.000Z</x:v>
      </x:c>
      <x:c r="E16" s="2" t="str"/>
      <x:c r="F16" s="2" t="str">
        <x:v>CONT</x:v>
      </x:c>
      <x:c r="G16" s="17" t="n">
        <x:v>0</x:v>
      </x:c>
      <x:c r="H16" s="18" t="n">
        <x:v>1000</x:v>
      </x:c>
      <x:c r="I16" s="18" t="str">
        <x:v>CAD</x:v>
      </x:c>
      <x:c r="J16" s="18" t="n">
        <x:v>2020</x:v>
      </x:c>
      <x:c r="K16" s="2" t="str">
        <x:v>TFSA-monthly-statement-transactions-DEMO_CAD-2024-07-01.csv</x:v>
      </x:c>
      <x:c r="L16" s="2" t="n">
        <x:v>12</x:v>
      </x:c>
      <x:c r="M16" s="2" t="str">
        <x:v>Contribution (executed at 2024-07-06)</x:v>
      </x:c>
      <x:c r="N16" s="2" t="str">
        <x:v>Imported</x:v>
      </x:c>
      <x:c r="O16" s="17" t="n">
        <x:f>IF(F16="BUY",G16,IF(F16="SELL",-G16,IF(AND(F16="STKREORG",N16="Applied 4-for-1 CDR split"),G16,0)))</x:f>
        <x:v>0</x:v>
      </x:c>
      <x:c r="P16" s="17" t="n">
        <x:f>SUMIF($E$6:E15,E16,$O$6:O15)</x:f>
        <x:v>0</x:v>
      </x:c>
      <x:c r="Q16" s="18" t="n">
        <x:f>SUMIF($E$6:E15,E16,$S$6:S15)</x:f>
        <x:v>0</x:v>
      </x:c>
      <x:c r="R16" s="18" t="n">
        <x:f>IF(P16&gt;0,Q16/P16,0)</x:f>
        <x:v>0</x:v>
      </x:c>
      <x:c r="S16" s="18" t="n">
        <x:f>IF(F16="BUY",-H16,IF(F16="SELL",-G16*R16,0))</x:f>
        <x:v>0</x:v>
      </x:c>
      <x:c r="T16" s="18" t="n">
        <x:f>IF(F16="SELL",IF(G16&gt;P16+0.000001,"REVIEW",H16-G16*R16),0)</x:f>
        <x:v>0</x:v>
      </x:c>
      <x:c r="U16" s="17" t="n">
        <x:f>P16+O16</x:f>
        <x:v>0</x:v>
      </x:c>
      <x:c r="V16" s="18" t="n">
        <x:f>Q16+S16</x:f>
        <x:v>0</x:v>
      </x:c>
      <x:c r="W16" s="18" t="n">
        <x:f>IF(F16="DIV",H16,0)</x:f>
        <x:v>0</x:v>
      </x:c>
      <x:c r="X16" s="18" t="n">
        <x:f>IF(F16="CONT",H16,0)</x:f>
        <x:v>1000</x:v>
      </x:c>
      <x:c r="Y16" s="2" t="str">
        <x:f>TEXT(C16,"yyyy-mm")</x:f>
        <x:v>2024-07</x:v>
      </x:c>
      <x:c r="Z16" s="2" t="str">
        <x:f>IF(OR(AND(F16="STKREORG",N16&lt;&gt;"Applied 4-for-1 CDR split"),AND(F16="SELL",G16&gt;P16+0.000001)),"REVIEW","OK")</x:f>
        <x:v>OK</x:v>
      </x:c>
    </x:row>
    <x:row r="17" ht="21" customHeight="1">
      <x:c r="A17" s="2"/>
      <x:c r="B17" s="2" t="str">
        <x:v>adf865cf9f0c88df6777</x:v>
      </x:c>
      <x:c r="C17" s="16" t="d">
        <x:v>2024-07-08T00:00:00.000Z</x:v>
      </x:c>
      <x:c r="D17" s="16" t="d">
        <x:v>2024-07-05T00:00:00.000Z</x:v>
      </x:c>
      <x:c r="E17" s="2" t="str">
        <x:v>NVDA_CDR</x:v>
      </x:c>
      <x:c r="F17" s="2" t="str">
        <x:v>BUY</x:v>
      </x:c>
      <x:c r="G17" s="17" t="n">
        <x:v>1</x:v>
      </x:c>
      <x:c r="H17" s="18" t="n">
        <x:v>-120.27</x:v>
      </x:c>
      <x:c r="I17" s="18" t="str">
        <x:v>CAD</x:v>
      </x:c>
      <x:c r="J17" s="18" t="n">
        <x:v>1899.73</x:v>
      </x:c>
      <x:c r="K17" s="2" t="str">
        <x:v>TFSA-monthly-statement-transactions-DEMO_CAD-2024-07-01.csv</x:v>
      </x:c>
      <x:c r="L17" s="2" t="n">
        <x:v>13</x:v>
      </x:c>
      <x:c r="M17" s="2" t="str">
        <x:v>NVDA - Nvidia Corp: Bought 1.0000 shares (executed at 2024-07-05)</x:v>
      </x:c>
      <x:c r="N17" s="2" t="str">
        <x:v>Imported</x:v>
      </x:c>
      <x:c r="O17" s="17" t="n">
        <x:f>IF(F17="BUY",G17,IF(F17="SELL",-G17,IF(AND(F17="STKREORG",N17="Applied 4-for-1 CDR split"),G17,0)))</x:f>
        <x:v>1</x:v>
      </x:c>
      <x:c r="P17" s="17" t="n">
        <x:f>SUMIF($E$6:E16,E17,$O$6:O16)</x:f>
        <x:v>0</x:v>
      </x:c>
      <x:c r="Q17" s="18" t="n">
        <x:f>SUMIF($E$6:E16,E17,$S$6:S16)</x:f>
        <x:v>0</x:v>
      </x:c>
      <x:c r="R17" s="18" t="n">
        <x:f>IF(P17&gt;0,Q17/P17,0)</x:f>
        <x:v>0</x:v>
      </x:c>
      <x:c r="S17" s="18" t="n">
        <x:f>IF(F17="BUY",-H17,IF(F17="SELL",-G17*R17,0))</x:f>
        <x:v>120.27</x:v>
      </x:c>
      <x:c r="T17" s="18" t="n">
        <x:f>IF(F17="SELL",IF(G17&gt;P17+0.000001,"REVIEW",H17-G17*R17),0)</x:f>
        <x:v>0</x:v>
      </x:c>
      <x:c r="U17" s="17" t="n">
        <x:f>P17+O17</x:f>
        <x:v>1</x:v>
      </x:c>
      <x:c r="V17" s="18" t="n">
        <x:f>Q17+S17</x:f>
        <x:v>120.27</x:v>
      </x:c>
      <x:c r="W17" s="18" t="n">
        <x:f>IF(F17="DIV",H17,0)</x:f>
        <x:v>0</x:v>
      </x:c>
      <x:c r="X17" s="18" t="n">
        <x:f>IF(F17="CONT",H17,0)</x:f>
        <x:v>0</x:v>
      </x:c>
      <x:c r="Y17" s="2" t="str">
        <x:f>TEXT(C17,"yyyy-mm")</x:f>
        <x:v>2024-07</x:v>
      </x:c>
      <x:c r="Z17" s="2" t="str">
        <x:f>IF(OR(AND(F17="STKREORG",N17&lt;&gt;"Applied 4-for-1 CDR split"),AND(F17="SELL",G17&gt;P17+0.000001)),"REVIEW","OK")</x:f>
        <x:v>OK</x:v>
      </x:c>
    </x:row>
    <x:row r="18" ht="21" customHeight="1">
      <x:c r="A18" s="2"/>
      <x:c r="B18" s="2" t="str">
        <x:v>df2c3d123893697577ba</x:v>
      </x:c>
      <x:c r="C18" s="16" t="d">
        <x:v>2024-07-08T00:00:00.000Z</x:v>
      </x:c>
      <x:c r="D18" s="16" t="d">
        <x:v>2024-07-05T00:00:00.000Z</x:v>
      </x:c>
      <x:c r="E18" s="2" t="str">
        <x:v>XEI_ORD</x:v>
      </x:c>
      <x:c r="F18" s="2" t="str">
        <x:v>BUY</x:v>
      </x:c>
      <x:c r="G18" s="17" t="n">
        <x:v>2</x:v>
      </x:c>
      <x:c r="H18" s="18" t="n">
        <x:v>-50.16</x:v>
      </x:c>
      <x:c r="I18" s="18" t="str">
        <x:v>CAD</x:v>
      </x:c>
      <x:c r="J18" s="18" t="n">
        <x:v>1849.57</x:v>
      </x:c>
      <x:c r="K18" s="2" t="str">
        <x:v>TFSA-monthly-statement-transactions-DEMO_CAD-2024-07-01.csv</x:v>
      </x:c>
      <x:c r="L18" s="2" t="n">
        <x:v>14</x:v>
      </x:c>
      <x:c r="M18" s="2" t="str">
        <x:v>XEI - iShares S&amp;P/TSX Composite High Dividend Income Index ETF: Bought 2.0000 shares (executed at 2024-07-05)</x:v>
      </x:c>
      <x:c r="N18" s="2" t="str">
        <x:v>Imported</x:v>
      </x:c>
      <x:c r="O18" s="17" t="n">
        <x:f>IF(F18="BUY",G18,IF(F18="SELL",-G18,IF(AND(F18="STKREORG",N18="Applied 4-for-1 CDR split"),G18,0)))</x:f>
        <x:v>2</x:v>
      </x:c>
      <x:c r="P18" s="17" t="n">
        <x:f>SUMIF($E$6:E17,E18,$O$6:O17)</x:f>
        <x:v>0</x:v>
      </x:c>
      <x:c r="Q18" s="18" t="n">
        <x:f>SUMIF($E$6:E17,E18,$S$6:S17)</x:f>
        <x:v>0</x:v>
      </x:c>
      <x:c r="R18" s="18" t="n">
        <x:f>IF(P18&gt;0,Q18/P18,0)</x:f>
        <x:v>0</x:v>
      </x:c>
      <x:c r="S18" s="18" t="n">
        <x:f>IF(F18="BUY",-H18,IF(F18="SELL",-G18*R18,0))</x:f>
        <x:v>50.16</x:v>
      </x:c>
      <x:c r="T18" s="18" t="n">
        <x:f>IF(F18="SELL",IF(G18&gt;P18+0.000001,"REVIEW",H18-G18*R18),0)</x:f>
        <x:v>0</x:v>
      </x:c>
      <x:c r="U18" s="17" t="n">
        <x:f>P18+O18</x:f>
        <x:v>2</x:v>
      </x:c>
      <x:c r="V18" s="18" t="n">
        <x:f>Q18+S18</x:f>
        <x:v>50.16</x:v>
      </x:c>
      <x:c r="W18" s="18" t="n">
        <x:f>IF(F18="DIV",H18,0)</x:f>
        <x:v>0</x:v>
      </x:c>
      <x:c r="X18" s="18" t="n">
        <x:f>IF(F18="CONT",H18,0)</x:f>
        <x:v>0</x:v>
      </x:c>
      <x:c r="Y18" s="2" t="str">
        <x:f>TEXT(C18,"yyyy-mm")</x:f>
        <x:v>2024-07</x:v>
      </x:c>
      <x:c r="Z18" s="2" t="str">
        <x:f>IF(OR(AND(F18="STKREORG",N18&lt;&gt;"Applied 4-for-1 CDR split"),AND(F18="SELL",G18&gt;P18+0.000001)),"REVIEW","OK")</x:f>
        <x:v>OK</x:v>
      </x:c>
    </x:row>
    <x:row r="19" ht="21" customHeight="1">
      <x:c r="A19" s="2"/>
      <x:c r="B19" s="2" t="str">
        <x:v>8eabe06b376ef033fed0</x:v>
      </x:c>
      <x:c r="C19" s="16" t="d">
        <x:v>2024-07-08T00:00:00.000Z</x:v>
      </x:c>
      <x:c r="D19" s="16" t="d">
        <x:v>2024-07-05T00:00:00.000Z</x:v>
      </x:c>
      <x:c r="E19" s="2" t="str">
        <x:v>VFV_ORD</x:v>
      </x:c>
      <x:c r="F19" s="2" t="str">
        <x:v>BUY</x:v>
      </x:c>
      <x:c r="G19" s="17" t="n">
        <x:v>2</x:v>
      </x:c>
      <x:c r="H19" s="18" t="n">
        <x:v>-267.6</x:v>
      </x:c>
      <x:c r="I19" s="18" t="str">
        <x:v>CAD</x:v>
      </x:c>
      <x:c r="J19" s="18" t="n">
        <x:v>1581.96</x:v>
      </x:c>
      <x:c r="K19" s="2" t="str">
        <x:v>TFSA-monthly-statement-transactions-DEMO_CAD-2024-07-01.csv</x:v>
      </x:c>
      <x:c r="L19" s="2" t="n">
        <x:v>15</x:v>
      </x:c>
      <x:c r="M19" s="2" t="str">
        <x:v>VFV - Vanguard S&amp;P 500 Index ETF: Bought 2.0000 shares (executed at 2024-07-05)</x:v>
      </x:c>
      <x:c r="N19" s="2" t="str">
        <x:v>Imported</x:v>
      </x:c>
      <x:c r="O19" s="17" t="n">
        <x:f>IF(F19="BUY",G19,IF(F19="SELL",-G19,IF(AND(F19="STKREORG",N19="Applied 4-for-1 CDR split"),G19,0)))</x:f>
        <x:v>2</x:v>
      </x:c>
      <x:c r="P19" s="17" t="n">
        <x:f>SUMIF($E$6:E18,E19,$O$6:O18)</x:f>
        <x:v>0.2507</x:v>
      </x:c>
      <x:c r="Q19" s="18" t="n">
        <x:f>SUMIF($E$6:E18,E19,$S$6:S18)</x:f>
        <x:v>33.4</x:v>
      </x:c>
      <x:c r="R19" s="18" t="n">
        <x:f>IF(P19&gt;0,Q19/P19,0)</x:f>
        <x:v>133.22696449940167</x:v>
      </x:c>
      <x:c r="S19" s="18" t="n">
        <x:f>IF(F19="BUY",-H19,IF(F19="SELL",-G19*R19,0))</x:f>
        <x:v>267.6</x:v>
      </x:c>
      <x:c r="T19" s="18" t="n">
        <x:f>IF(F19="SELL",IF(G19&gt;P19+0.000001,"REVIEW",H19-G19*R19),0)</x:f>
        <x:v>0</x:v>
      </x:c>
      <x:c r="U19" s="17" t="n">
        <x:f>P19+O19</x:f>
        <x:v>2.2507</x:v>
      </x:c>
      <x:c r="V19" s="18" t="n">
        <x:f>Q19+S19</x:f>
        <x:v>301</x:v>
      </x:c>
      <x:c r="W19" s="18" t="n">
        <x:f>IF(F19="DIV",H19,0)</x:f>
        <x:v>0</x:v>
      </x:c>
      <x:c r="X19" s="18" t="n">
        <x:f>IF(F19="CONT",H19,0)</x:f>
        <x:v>0</x:v>
      </x:c>
      <x:c r="Y19" s="2" t="str">
        <x:f>TEXT(C19,"yyyy-mm")</x:f>
        <x:v>2024-07</x:v>
      </x:c>
      <x:c r="Z19" s="2" t="str">
        <x:f>IF(OR(AND(F19="STKREORG",N19&lt;&gt;"Applied 4-for-1 CDR split"),AND(F19="SELL",G19&gt;P19+0.000001)),"REVIEW","OK")</x:f>
        <x:v>OK</x:v>
      </x:c>
    </x:row>
    <x:row r="20" ht="21" customHeight="1">
      <x:c r="A20" s="2"/>
      <x:c r="B20" s="2" t="str">
        <x:v>52eda4a7d5d16d652966</x:v>
      </x:c>
      <x:c r="C20" s="16" t="d">
        <x:v>2024-07-08T00:00:00.000Z</x:v>
      </x:c>
      <x:c r="D20" s="16" t="d">
        <x:v>2024-07-05T00:00:00.000Z</x:v>
      </x:c>
      <x:c r="E20" s="2" t="str">
        <x:v>TEC_ORD</x:v>
      </x:c>
      <x:c r="F20" s="2" t="str">
        <x:v>BUY</x:v>
      </x:c>
      <x:c r="G20" s="17" t="n">
        <x:v>1.4686</x:v>
      </x:c>
      <x:c r="H20" s="18" t="n">
        <x:v>-60.48</x:v>
      </x:c>
      <x:c r="I20" s="18" t="str">
        <x:v>CAD</x:v>
      </x:c>
      <x:c r="J20" s="18" t="n">
        <x:v>1521.48</x:v>
      </x:c>
      <x:c r="K20" s="2" t="str">
        <x:v>TFSA-monthly-statement-transactions-DEMO_CAD-2024-07-01.csv</x:v>
      </x:c>
      <x:c r="L20" s="2" t="n">
        <x:v>16</x:v>
      </x:c>
      <x:c r="M20" s="2" t="str">
        <x:v>TEC - TD Global Tech Leaders Index ETF: Bought 1.4686 shares (executed at 2024-07-05)</x:v>
      </x:c>
      <x:c r="N20" s="2" t="str">
        <x:v>Imported</x:v>
      </x:c>
      <x:c r="O20" s="17" t="n">
        <x:f>IF(F20="BUY",G20,IF(F20="SELL",-G20,IF(AND(F20="STKREORG",N20="Applied 4-for-1 CDR split"),G20,0)))</x:f>
        <x:v>1.4686</x:v>
      </x:c>
      <x:c r="P20" s="17" t="n">
        <x:f>SUMIF($E$6:E19,E20,$O$6:O19)</x:f>
        <x:v>0.6109</x:v>
      </x:c>
      <x:c r="Q20" s="18" t="n">
        <x:f>SUMIF($E$6:E19,E20,$S$6:S19)</x:f>
        <x:v>25</x:v>
      </x:c>
      <x:c r="R20" s="18" t="n">
        <x:f>IF(P20&gt;0,Q20/P20,0)</x:f>
        <x:v>40.92322802422655</x:v>
      </x:c>
      <x:c r="S20" s="18" t="n">
        <x:f>IF(F20="BUY",-H20,IF(F20="SELL",-G20*R20,0))</x:f>
        <x:v>60.48</x:v>
      </x:c>
      <x:c r="T20" s="18" t="n">
        <x:f>IF(F20="SELL",IF(G20&gt;P20+0.000001,"REVIEW",H20-G20*R20),0)</x:f>
        <x:v>0</x:v>
      </x:c>
      <x:c r="U20" s="17" t="n">
        <x:f>P20+O20</x:f>
        <x:v>2.0795</x:v>
      </x:c>
      <x:c r="V20" s="18" t="n">
        <x:f>Q20+S20</x:f>
        <x:v>85.47999999999999</x:v>
      </x:c>
      <x:c r="W20" s="18" t="n">
        <x:f>IF(F20="DIV",H20,0)</x:f>
        <x:v>0</x:v>
      </x:c>
      <x:c r="X20" s="18" t="n">
        <x:f>IF(F20="CONT",H20,0)</x:f>
        <x:v>0</x:v>
      </x:c>
      <x:c r="Y20" s="2" t="str">
        <x:f>TEXT(C20,"yyyy-mm")</x:f>
        <x:v>2024-07</x:v>
      </x:c>
      <x:c r="Z20" s="2" t="str">
        <x:f>IF(OR(AND(F20="STKREORG",N20&lt;&gt;"Applied 4-for-1 CDR split"),AND(F20="SELL",G20&gt;P20+0.000001)),"REVIEW","OK")</x:f>
        <x:v>OK</x:v>
      </x:c>
    </x:row>
    <x:row r="21" ht="21" customHeight="1">
      <x:c r="A21" s="2"/>
      <x:c r="B21" s="2" t="str">
        <x:v>ec9f0a7cf295d5e872d9</x:v>
      </x:c>
      <x:c r="C21" s="16" t="d">
        <x:v>2024-07-08T00:00:00.000Z</x:v>
      </x:c>
      <x:c r="D21" s="16" t="d">
        <x:v>2024-07-05T00:00:00.000Z</x:v>
      </x:c>
      <x:c r="E21" s="2" t="str">
        <x:v>XEQT_ORD</x:v>
      </x:c>
      <x:c r="F21" s="2" t="str">
        <x:v>BUY</x:v>
      </x:c>
      <x:c r="G21" s="17" t="n">
        <x:v>16.1186</x:v>
      </x:c>
      <x:c r="H21" s="18" t="n">
        <x:v>-500</x:v>
      </x:c>
      <x:c r="I21" s="18" t="str">
        <x:v>CAD</x:v>
      </x:c>
      <x:c r="J21" s="18" t="n">
        <x:v>1021.48</x:v>
      </x:c>
      <x:c r="K21" s="2" t="str">
        <x:v>TFSA-monthly-statement-transactions-DEMO_CAD-2024-07-01.csv</x:v>
      </x:c>
      <x:c r="L21" s="2" t="n">
        <x:v>17</x:v>
      </x:c>
      <x:c r="M21" s="2" t="str">
        <x:v>XEQT - iShares Core Equity ETF Portfolio: Bought 16.1186 shares (executed at 2024-07-05)</x:v>
      </x:c>
      <x:c r="N21" s="2" t="str">
        <x:v>Imported</x:v>
      </x:c>
      <x:c r="O21" s="17" t="n">
        <x:f>IF(F21="BUY",G21,IF(F21="SELL",-G21,IF(AND(F21="STKREORG",N21="Applied 4-for-1 CDR split"),G21,0)))</x:f>
        <x:v>16.1186</x:v>
      </x:c>
      <x:c r="P21" s="17" t="n">
        <x:f>SUMIF($E$6:E20,E21,$O$6:O20)</x:f>
        <x:v>27.938100000000002</x:v>
      </x:c>
      <x:c r="Q21" s="18" t="n">
        <x:f>SUMIF($E$6:E20,E21,$S$6:S20)</x:f>
        <x:v>866.6</x:v>
      </x:c>
      <x:c r="R21" s="18" t="n">
        <x:f>IF(P21&gt;0,Q21/P21,0)</x:f>
        <x:v>31.01857320290213</x:v>
      </x:c>
      <x:c r="S21" s="18" t="n">
        <x:f>IF(F21="BUY",-H21,IF(F21="SELL",-G21*R21,0))</x:f>
        <x:v>500</x:v>
      </x:c>
      <x:c r="T21" s="18" t="n">
        <x:f>IF(F21="SELL",IF(G21&gt;P21+0.000001,"REVIEW",H21-G21*R21),0)</x:f>
        <x:v>0</x:v>
      </x:c>
      <x:c r="U21" s="17" t="n">
        <x:f>P21+O21</x:f>
        <x:v>44.056700000000006</x:v>
      </x:c>
      <x:c r="V21" s="18" t="n">
        <x:f>Q21+S21</x:f>
        <x:v>1366.6</x:v>
      </x:c>
      <x:c r="W21" s="18" t="n">
        <x:f>IF(F21="DIV",H21,0)</x:f>
        <x:v>0</x:v>
      </x:c>
      <x:c r="X21" s="18" t="n">
        <x:f>IF(F21="CONT",H21,0)</x:f>
        <x:v>0</x:v>
      </x:c>
      <x:c r="Y21" s="2" t="str">
        <x:f>TEXT(C21,"yyyy-mm")</x:f>
        <x:v>2024-07</x:v>
      </x:c>
      <x:c r="Z21" s="2" t="str">
        <x:f>IF(OR(AND(F21="STKREORG",N21&lt;&gt;"Applied 4-for-1 CDR split"),AND(F21="SELL",G21&gt;P21+0.000001)),"REVIEW","OK")</x:f>
        <x:v>OK</x:v>
      </x:c>
    </x:row>
    <x:row r="22" ht="21" customHeight="1">
      <x:c r="A22" s="2"/>
      <x:c r="B22" s="2" t="str">
        <x:v>dd1a842fcbc5392a746b</x:v>
      </x:c>
      <x:c r="C22" s="16" t="d">
        <x:v>2024-07-08T00:00:00.000Z</x:v>
      </x:c>
      <x:c r="D22" s="16" t="d">
        <x:v>2024-07-05T00:00:00.000Z</x:v>
      </x:c>
      <x:c r="E22" s="2" t="str">
        <x:v>VDY_ORD</x:v>
      </x:c>
      <x:c r="F22" s="2" t="str">
        <x:v>BUY</x:v>
      </x:c>
      <x:c r="G22" s="17" t="n">
        <x:v>0.4924</x:v>
      </x:c>
      <x:c r="H22" s="18" t="n">
        <x:v>-21.49</x:v>
      </x:c>
      <x:c r="I22" s="18" t="str">
        <x:v>CAD</x:v>
      </x:c>
      <x:c r="J22" s="18" t="n">
        <x:v>999.99</x:v>
      </x:c>
      <x:c r="K22" s="2" t="str">
        <x:v>TFSA-monthly-statement-transactions-DEMO_CAD-2024-07-01.csv</x:v>
      </x:c>
      <x:c r="L22" s="2" t="n">
        <x:v>18</x:v>
      </x:c>
      <x:c r="M22" s="2" t="str">
        <x:v>VDY - Vanguard FTSE Canadian High Dividend Yield Index ETF: Bought 0.4924 shares (executed at 2024-07-05)</x:v>
      </x:c>
      <x:c r="N22" s="2" t="str">
        <x:v>Imported</x:v>
      </x:c>
      <x:c r="O22" s="17" t="n">
        <x:f>IF(F22="BUY",G22,IF(F22="SELL",-G22,IF(AND(F22="STKREORG",N22="Applied 4-for-1 CDR split"),G22,0)))</x:f>
        <x:v>0.4924</x:v>
      </x:c>
      <x:c r="P22" s="17" t="n">
        <x:f>SUMIF($E$6:E21,E22,$O$6:O21)</x:f>
        <x:v>0</x:v>
      </x:c>
      <x:c r="Q22" s="18" t="n">
        <x:f>SUMIF($E$6:E21,E22,$S$6:S21)</x:f>
        <x:v>0</x:v>
      </x:c>
      <x:c r="R22" s="18" t="n">
        <x:f>IF(P22&gt;0,Q22/P22,0)</x:f>
        <x:v>0</x:v>
      </x:c>
      <x:c r="S22" s="18" t="n">
        <x:f>IF(F22="BUY",-H22,IF(F22="SELL",-G22*R22,0))</x:f>
        <x:v>21.49</x:v>
      </x:c>
      <x:c r="T22" s="18" t="n">
        <x:f>IF(F22="SELL",IF(G22&gt;P22+0.000001,"REVIEW",H22-G22*R22),0)</x:f>
        <x:v>0</x:v>
      </x:c>
      <x:c r="U22" s="17" t="n">
        <x:f>P22+O22</x:f>
        <x:v>0.4924</x:v>
      </x:c>
      <x:c r="V22" s="18" t="n">
        <x:f>Q22+S22</x:f>
        <x:v>21.49</x:v>
      </x:c>
      <x:c r="W22" s="18" t="n">
        <x:f>IF(F22="DIV",H22,0)</x:f>
        <x:v>0</x:v>
      </x:c>
      <x:c r="X22" s="18" t="n">
        <x:f>IF(F22="CONT",H22,0)</x:f>
        <x:v>0</x:v>
      </x:c>
      <x:c r="Y22" s="2" t="str">
        <x:f>TEXT(C22,"yyyy-mm")</x:f>
        <x:v>2024-07</x:v>
      </x:c>
      <x:c r="Z22" s="2" t="str">
        <x:f>IF(OR(AND(F22="STKREORG",N22&lt;&gt;"Applied 4-for-1 CDR split"),AND(F22="SELL",G22&gt;P22+0.000001)),"REVIEW","OK")</x:f>
        <x:v>OK</x:v>
      </x:c>
    </x:row>
    <x:row r="23" ht="21" customHeight="1">
      <x:c r="A23" s="2"/>
      <x:c r="B23" s="2" t="str">
        <x:v>4037735f4cca877de817</x:v>
      </x:c>
      <x:c r="C23" s="16" t="d">
        <x:v>2024-07-09T00:00:00.000Z</x:v>
      </x:c>
      <x:c r="D23" s="16" t="d">
        <x:v>2024-07-08T00:00:00.000Z</x:v>
      </x:c>
      <x:c r="E23" s="2" t="str">
        <x:v>CASH_ORD</x:v>
      </x:c>
      <x:c r="F23" s="2" t="str">
        <x:v>BUY</x:v>
      </x:c>
      <x:c r="G23" s="17" t="n">
        <x:v>2</x:v>
      </x:c>
      <x:c r="H23" s="18" t="n">
        <x:v>-100.12</x:v>
      </x:c>
      <x:c r="I23" s="18" t="str">
        <x:v>CAD</x:v>
      </x:c>
      <x:c r="J23" s="18" t="n">
        <x:v>899.87</x:v>
      </x:c>
      <x:c r="K23" s="2" t="str">
        <x:v>TFSA-monthly-statement-transactions-DEMO_CAD-2024-07-01.csv</x:v>
      </x:c>
      <x:c r="L23" s="2" t="n">
        <x:v>19</x:v>
      </x:c>
      <x:c r="M23" s="2" t="str">
        <x:v>CASH - Global X High Interest Savings ETF: Bought 2.0000 shares (executed at 2024-07-08)</x:v>
      </x:c>
      <x:c r="N23" s="2" t="str">
        <x:v>Imported</x:v>
      </x:c>
      <x:c r="O23" s="17" t="n">
        <x:f>IF(F23="BUY",G23,IF(F23="SELL",-G23,IF(AND(F23="STKREORG",N23="Applied 4-for-1 CDR split"),G23,0)))</x:f>
        <x:v>2</x:v>
      </x:c>
      <x:c r="P23" s="17" t="n">
        <x:f>SUMIF($E$6:E22,E23,$O$6:O22)</x:f>
        <x:v>0</x:v>
      </x:c>
      <x:c r="Q23" s="18" t="n">
        <x:f>SUMIF($E$6:E22,E23,$S$6:S22)</x:f>
        <x:v>0</x:v>
      </x:c>
      <x:c r="R23" s="18" t="n">
        <x:f>IF(P23&gt;0,Q23/P23,0)</x:f>
        <x:v>0</x:v>
      </x:c>
      <x:c r="S23" s="18" t="n">
        <x:f>IF(F23="BUY",-H23,IF(F23="SELL",-G23*R23,0))</x:f>
        <x:v>100.12</x:v>
      </x:c>
      <x:c r="T23" s="18" t="n">
        <x:f>IF(F23="SELL",IF(G23&gt;P23+0.000001,"REVIEW",H23-G23*R23),0)</x:f>
        <x:v>0</x:v>
      </x:c>
      <x:c r="U23" s="17" t="n">
        <x:f>P23+O23</x:f>
        <x:v>2</x:v>
      </x:c>
      <x:c r="V23" s="18" t="n">
        <x:f>Q23+S23</x:f>
        <x:v>100.12</x:v>
      </x:c>
      <x:c r="W23" s="18" t="n">
        <x:f>IF(F23="DIV",H23,0)</x:f>
        <x:v>0</x:v>
      </x:c>
      <x:c r="X23" s="18" t="n">
        <x:f>IF(F23="CONT",H23,0)</x:f>
        <x:v>0</x:v>
      </x:c>
      <x:c r="Y23" s="2" t="str">
        <x:f>TEXT(C23,"yyyy-mm")</x:f>
        <x:v>2024-07</x:v>
      </x:c>
      <x:c r="Z23" s="2" t="str">
        <x:f>IF(OR(AND(F23="STKREORG",N23&lt;&gt;"Applied 4-for-1 CDR split"),AND(F23="SELL",G23&gt;P23+0.000001)),"REVIEW","OK")</x:f>
        <x:v>OK</x:v>
      </x:c>
    </x:row>
    <x:row r="24" ht="21" customHeight="1">
      <x:c r="A24" s="2"/>
      <x:c r="B24" s="2" t="str">
        <x:v>01f678dc44a86b22080d</x:v>
      </x:c>
      <x:c r="C24" s="16" t="d">
        <x:v>2024-07-10T00:00:00.000Z</x:v>
      </x:c>
      <x:c r="D24" s="16" t="d">
        <x:v>2024-07-09T00:00:00.000Z</x:v>
      </x:c>
      <x:c r="E24" s="2" t="str">
        <x:v>TEC_ORD</x:v>
      </x:c>
      <x:c r="F24" s="2" t="str">
        <x:v>BUY</x:v>
      </x:c>
      <x:c r="G24" s="17" t="n">
        <x:v>2</x:v>
      </x:c>
      <x:c r="H24" s="18" t="n">
        <x:v>-83.1</x:v>
      </x:c>
      <x:c r="I24" s="18" t="str">
        <x:v>CAD</x:v>
      </x:c>
      <x:c r="J24" s="18" t="n">
        <x:v>816.77</x:v>
      </x:c>
      <x:c r="K24" s="2" t="str">
        <x:v>TFSA-monthly-statement-transactions-DEMO_CAD-2024-07-01.csv</x:v>
      </x:c>
      <x:c r="L24" s="2" t="n">
        <x:v>20</x:v>
      </x:c>
      <x:c r="M24" s="2" t="str">
        <x:v>TEC - TD Global Tech Leaders Index ETF: Bought 2.0000 shares (executed at 2024-07-09)</x:v>
      </x:c>
      <x:c r="N24" s="2" t="str">
        <x:v>Imported</x:v>
      </x:c>
      <x:c r="O24" s="17" t="n">
        <x:f>IF(F24="BUY",G24,IF(F24="SELL",-G24,IF(AND(F24="STKREORG",N24="Applied 4-for-1 CDR split"),G24,0)))</x:f>
        <x:v>2</x:v>
      </x:c>
      <x:c r="P24" s="17" t="n">
        <x:f>SUMIF($E$6:E23,E24,$O$6:O23)</x:f>
        <x:v>2.0795</x:v>
      </x:c>
      <x:c r="Q24" s="18" t="n">
        <x:f>SUMIF($E$6:E23,E24,$S$6:S23)</x:f>
        <x:v>85.47999999999999</x:v>
      </x:c>
      <x:c r="R24" s="18" t="n">
        <x:f>IF(P24&gt;0,Q24/P24,0)</x:f>
        <x:v>41.10603510459245</x:v>
      </x:c>
      <x:c r="S24" s="18" t="n">
        <x:f>IF(F24="BUY",-H24,IF(F24="SELL",-G24*R24,0))</x:f>
        <x:v>83.1</x:v>
      </x:c>
      <x:c r="T24" s="18" t="n">
        <x:f>IF(F24="SELL",IF(G24&gt;P24+0.000001,"REVIEW",H24-G24*R24),0)</x:f>
        <x:v>0</x:v>
      </x:c>
      <x:c r="U24" s="17" t="n">
        <x:f>P24+O24</x:f>
        <x:v>4.0794999999999995</x:v>
      </x:c>
      <x:c r="V24" s="18" t="n">
        <x:f>Q24+S24</x:f>
        <x:v>168.57999999999998</x:v>
      </x:c>
      <x:c r="W24" s="18" t="n">
        <x:f>IF(F24="DIV",H24,0)</x:f>
        <x:v>0</x:v>
      </x:c>
      <x:c r="X24" s="18" t="n">
        <x:f>IF(F24="CONT",H24,0)</x:f>
        <x:v>0</x:v>
      </x:c>
      <x:c r="Y24" s="2" t="str">
        <x:f>TEXT(C24,"yyyy-mm")</x:f>
        <x:v>2024-07</x:v>
      </x:c>
      <x:c r="Z24" s="2" t="str">
        <x:f>IF(OR(AND(F24="STKREORG",N24&lt;&gt;"Applied 4-for-1 CDR split"),AND(F24="SELL",G24&gt;P24+0.000001)),"REVIEW","OK")</x:f>
        <x:v>OK</x:v>
      </x:c>
    </x:row>
    <x:row r="25" ht="21" customHeight="1">
      <x:c r="A25" s="2"/>
      <x:c r="B25" s="2" t="str">
        <x:v>e23bcbbf4dfcf8bb5eaf</x:v>
      </x:c>
      <x:c r="C25" s="16" t="d">
        <x:v>2024-07-10T00:00:00.000Z</x:v>
      </x:c>
      <x:c r="D25" s="16" t="d">
        <x:v>2024-07-09T00:00:00.000Z</x:v>
      </x:c>
      <x:c r="E25" s="2" t="str">
        <x:v>AAPL_CDR</x:v>
      </x:c>
      <x:c r="F25" s="2" t="str">
        <x:v>BUY</x:v>
      </x:c>
      <x:c r="G25" s="17" t="n">
        <x:v>1</x:v>
      </x:c>
      <x:c r="H25" s="18" t="n">
        <x:v>-33.65</x:v>
      </x:c>
      <x:c r="I25" s="18" t="str">
        <x:v>CAD</x:v>
      </x:c>
      <x:c r="J25" s="18" t="n">
        <x:v>783.12</x:v>
      </x:c>
      <x:c r="K25" s="2" t="str">
        <x:v>TFSA-monthly-statement-transactions-DEMO_CAD-2024-07-01.csv</x:v>
      </x:c>
      <x:c r="L25" s="2" t="n">
        <x:v>21</x:v>
      </x:c>
      <x:c r="M25" s="2" t="str">
        <x:v>AAPL - Apple CDR (CAD Hedged) : Bought 1.0000 shares (executed at 2024-07-09)</x:v>
      </x:c>
      <x:c r="N25" s="2" t="str">
        <x:v>Imported</x:v>
      </x:c>
      <x:c r="O25" s="17" t="n">
        <x:f>IF(F25="BUY",G25,IF(F25="SELL",-G25,IF(AND(F25="STKREORG",N25="Applied 4-for-1 CDR split"),G25,0)))</x:f>
        <x:v>1</x:v>
      </x:c>
      <x:c r="P25" s="17" t="n">
        <x:f>SUMIF($E$6:E24,E25,$O$6:O24)</x:f>
        <x:v>0</x:v>
      </x:c>
      <x:c r="Q25" s="18" t="n">
        <x:f>SUMIF($E$6:E24,E25,$S$6:S24)</x:f>
        <x:v>0</x:v>
      </x:c>
      <x:c r="R25" s="18" t="n">
        <x:f>IF(P25&gt;0,Q25/P25,0)</x:f>
        <x:v>0</x:v>
      </x:c>
      <x:c r="S25" s="18" t="n">
        <x:f>IF(F25="BUY",-H25,IF(F25="SELL",-G25*R25,0))</x:f>
        <x:v>33.65</x:v>
      </x:c>
      <x:c r="T25" s="18" t="n">
        <x:f>IF(F25="SELL",IF(G25&gt;P25+0.000001,"REVIEW",H25-G25*R25),0)</x:f>
        <x:v>0</x:v>
      </x:c>
      <x:c r="U25" s="17" t="n">
        <x:f>P25+O25</x:f>
        <x:v>1</x:v>
      </x:c>
      <x:c r="V25" s="18" t="n">
        <x:f>Q25+S25</x:f>
        <x:v>33.65</x:v>
      </x:c>
      <x:c r="W25" s="18" t="n">
        <x:f>IF(F25="DIV",H25,0)</x:f>
        <x:v>0</x:v>
      </x:c>
      <x:c r="X25" s="18" t="n">
        <x:f>IF(F25="CONT",H25,0)</x:f>
        <x:v>0</x:v>
      </x:c>
      <x:c r="Y25" s="2" t="str">
        <x:f>TEXT(C25,"yyyy-mm")</x:f>
        <x:v>2024-07</x:v>
      </x:c>
      <x:c r="Z25" s="2" t="str">
        <x:f>IF(OR(AND(F25="STKREORG",N25&lt;&gt;"Applied 4-for-1 CDR split"),AND(F25="SELL",G25&gt;P25+0.000001)),"REVIEW","OK")</x:f>
        <x:v>OK</x:v>
      </x:c>
    </x:row>
    <x:row r="26" ht="21" customHeight="1">
      <x:c r="A26" s="2"/>
      <x:c r="B26" s="2" t="str">
        <x:v>8c29d48eae70c28c90f9</x:v>
      </x:c>
      <x:c r="C26" s="16" t="d">
        <x:v>2024-07-10T00:00:00.000Z</x:v>
      </x:c>
      <x:c r="D26" s="16" t="d">
        <x:v>2024-07-09T00:00:00.000Z</x:v>
      </x:c>
      <x:c r="E26" s="2" t="str">
        <x:v>BMO_ORD</x:v>
      </x:c>
      <x:c r="F26" s="2" t="str">
        <x:v>BUY</x:v>
      </x:c>
      <x:c r="G26" s="17" t="n">
        <x:v>1</x:v>
      </x:c>
      <x:c r="H26" s="18" t="n">
        <x:v>-114.89</x:v>
      </x:c>
      <x:c r="I26" s="18" t="str">
        <x:v>CAD</x:v>
      </x:c>
      <x:c r="J26" s="18" t="n">
        <x:v>668.23</x:v>
      </x:c>
      <x:c r="K26" s="2" t="str">
        <x:v>TFSA-monthly-statement-transactions-DEMO_CAD-2024-07-01.csv</x:v>
      </x:c>
      <x:c r="L26" s="2" t="n">
        <x:v>22</x:v>
      </x:c>
      <x:c r="M26" s="2" t="str">
        <x:v>BMO - Bank of Montreal: Bought 1.0000 shares (executed at 2024-07-09)</x:v>
      </x:c>
      <x:c r="N26" s="2" t="str">
        <x:v>Imported</x:v>
      </x:c>
      <x:c r="O26" s="17" t="n">
        <x:f>IF(F26="BUY",G26,IF(F26="SELL",-G26,IF(AND(F26="STKREORG",N26="Applied 4-for-1 CDR split"),G26,0)))</x:f>
        <x:v>1</x:v>
      </x:c>
      <x:c r="P26" s="17" t="n">
        <x:f>SUMIF($E$6:E25,E26,$O$6:O25)</x:f>
        <x:v>0</x:v>
      </x:c>
      <x:c r="Q26" s="18" t="n">
        <x:f>SUMIF($E$6:E25,E26,$S$6:S25)</x:f>
        <x:v>0</x:v>
      </x:c>
      <x:c r="R26" s="18" t="n">
        <x:f>IF(P26&gt;0,Q26/P26,0)</x:f>
        <x:v>0</x:v>
      </x:c>
      <x:c r="S26" s="18" t="n">
        <x:f>IF(F26="BUY",-H26,IF(F26="SELL",-G26*R26,0))</x:f>
        <x:v>114.89</x:v>
      </x:c>
      <x:c r="T26" s="18" t="n">
        <x:f>IF(F26="SELL",IF(G26&gt;P26+0.000001,"REVIEW",H26-G26*R26),0)</x:f>
        <x:v>0</x:v>
      </x:c>
      <x:c r="U26" s="17" t="n">
        <x:f>P26+O26</x:f>
        <x:v>1</x:v>
      </x:c>
      <x:c r="V26" s="18" t="n">
        <x:f>Q26+S26</x:f>
        <x:v>114.89</x:v>
      </x:c>
      <x:c r="W26" s="18" t="n">
        <x:f>IF(F26="DIV",H26,0)</x:f>
        <x:v>0</x:v>
      </x:c>
      <x:c r="X26" s="18" t="n">
        <x:f>IF(F26="CONT",H26,0)</x:f>
        <x:v>0</x:v>
      </x:c>
      <x:c r="Y26" s="2" t="str">
        <x:f>TEXT(C26,"yyyy-mm")</x:f>
        <x:v>2024-07</x:v>
      </x:c>
      <x:c r="Z26" s="2" t="str">
        <x:f>IF(OR(AND(F26="STKREORG",N26&lt;&gt;"Applied 4-for-1 CDR split"),AND(F26="SELL",G26&gt;P26+0.000001)),"REVIEW","OK")</x:f>
        <x:v>OK</x:v>
      </x:c>
    </x:row>
    <x:row r="27" ht="21" customHeight="1">
      <x:c r="A27" s="2"/>
      <x:c r="B27" s="2" t="str">
        <x:v>288f991240cf9072c2dc</x:v>
      </x:c>
      <x:c r="C27" s="16" t="d">
        <x:v>2024-07-10T00:00:00.000Z</x:v>
      </x:c>
      <x:c r="D27" s="16" t="d">
        <x:v>2024-07-09T00:00:00.000Z</x:v>
      </x:c>
      <x:c r="E27" s="2" t="str">
        <x:v>CASH_ORD</x:v>
      </x:c>
      <x:c r="F27" s="2" t="str">
        <x:v>BUY</x:v>
      </x:c>
      <x:c r="G27" s="17" t="n">
        <x:v>1</x:v>
      </x:c>
      <x:c r="H27" s="18" t="n">
        <x:v>-50.06</x:v>
      </x:c>
      <x:c r="I27" s="18" t="str">
        <x:v>CAD</x:v>
      </x:c>
      <x:c r="J27" s="18" t="n">
        <x:v>618.17</x:v>
      </x:c>
      <x:c r="K27" s="2" t="str">
        <x:v>TFSA-monthly-statement-transactions-DEMO_CAD-2024-07-01.csv</x:v>
      </x:c>
      <x:c r="L27" s="2" t="n">
        <x:v>23</x:v>
      </x:c>
      <x:c r="M27" s="2" t="str">
        <x:v>CASH - Global X High Interest Savings ETF: Bought 1.0000 shares (executed at 2024-07-09)</x:v>
      </x:c>
      <x:c r="N27" s="2" t="str">
        <x:v>Imported</x:v>
      </x:c>
      <x:c r="O27" s="17" t="n">
        <x:f>IF(F27="BUY",G27,IF(F27="SELL",-G27,IF(AND(F27="STKREORG",N27="Applied 4-for-1 CDR split"),G27,0)))</x:f>
        <x:v>1</x:v>
      </x:c>
      <x:c r="P27" s="17" t="n">
        <x:f>SUMIF($E$6:E26,E27,$O$6:O26)</x:f>
        <x:v>2</x:v>
      </x:c>
      <x:c r="Q27" s="18" t="n">
        <x:f>SUMIF($E$6:E26,E27,$S$6:S26)</x:f>
        <x:v>100.12</x:v>
      </x:c>
      <x:c r="R27" s="18" t="n">
        <x:f>IF(P27&gt;0,Q27/P27,0)</x:f>
        <x:v>50.06</x:v>
      </x:c>
      <x:c r="S27" s="18" t="n">
        <x:f>IF(F27="BUY",-H27,IF(F27="SELL",-G27*R27,0))</x:f>
        <x:v>50.06</x:v>
      </x:c>
      <x:c r="T27" s="18" t="n">
        <x:f>IF(F27="SELL",IF(G27&gt;P27+0.000001,"REVIEW",H27-G27*R27),0)</x:f>
        <x:v>0</x:v>
      </x:c>
      <x:c r="U27" s="17" t="n">
        <x:f>P27+O27</x:f>
        <x:v>3</x:v>
      </x:c>
      <x:c r="V27" s="18" t="n">
        <x:f>Q27+S27</x:f>
        <x:v>150.18</x:v>
      </x:c>
      <x:c r="W27" s="18" t="n">
        <x:f>IF(F27="DIV",H27,0)</x:f>
        <x:v>0</x:v>
      </x:c>
      <x:c r="X27" s="18" t="n">
        <x:f>IF(F27="CONT",H27,0)</x:f>
        <x:v>0</x:v>
      </x:c>
      <x:c r="Y27" s="2" t="str">
        <x:f>TEXT(C27,"yyyy-mm")</x:f>
        <x:v>2024-07</x:v>
      </x:c>
      <x:c r="Z27" s="2" t="str">
        <x:f>IF(OR(AND(F27="STKREORG",N27&lt;&gt;"Applied 4-for-1 CDR split"),AND(F27="SELL",G27&gt;P27+0.000001)),"REVIEW","OK")</x:f>
        <x:v>OK</x:v>
      </x:c>
    </x:row>
    <x:row r="28" ht="21" customHeight="1">
      <x:c r="A28" s="2"/>
      <x:c r="B28" s="2" t="str">
        <x:v>8474585001dc1ae5bd06</x:v>
      </x:c>
      <x:c r="C28" s="16" t="d">
        <x:v>2024-07-10T00:00:00.000Z</x:v>
      </x:c>
      <x:c r="D28" s="16" t="d">
        <x:v>2024-07-09T00:00:00.000Z</x:v>
      </x:c>
      <x:c r="E28" s="2" t="str">
        <x:v>VFV_ORD</x:v>
      </x:c>
      <x:c r="F28" s="2" t="str">
        <x:v>BUY</x:v>
      </x:c>
      <x:c r="G28" s="17" t="n">
        <x:v>3</x:v>
      </x:c>
      <x:c r="H28" s="18" t="n">
        <x:v>-405</x:v>
      </x:c>
      <x:c r="I28" s="18" t="str">
        <x:v>CAD</x:v>
      </x:c>
      <x:c r="J28" s="18" t="n">
        <x:v>213.17</x:v>
      </x:c>
      <x:c r="K28" s="2" t="str">
        <x:v>TFSA-monthly-statement-transactions-DEMO_CAD-2024-07-01.csv</x:v>
      </x:c>
      <x:c r="L28" s="2" t="n">
        <x:v>24</x:v>
      </x:c>
      <x:c r="M28" s="2" t="str">
        <x:v>VFV - Vanguard S&amp;P 500 Index ETF: Bought 3.0000 shares (executed at 2024-07-09)</x:v>
      </x:c>
      <x:c r="N28" s="2" t="str">
        <x:v>Imported</x:v>
      </x:c>
      <x:c r="O28" s="17" t="n">
        <x:f>IF(F28="BUY",G28,IF(F28="SELL",-G28,IF(AND(F28="STKREORG",N28="Applied 4-for-1 CDR split"),G28,0)))</x:f>
        <x:v>3</x:v>
      </x:c>
      <x:c r="P28" s="17" t="n">
        <x:f>SUMIF($E$6:E27,E28,$O$6:O27)</x:f>
        <x:v>2.2507</x:v>
      </x:c>
      <x:c r="Q28" s="18" t="n">
        <x:f>SUMIF($E$6:E27,E28,$S$6:S27)</x:f>
        <x:v>301</x:v>
      </x:c>
      <x:c r="R28" s="18" t="n">
        <x:f>IF(P28&gt;0,Q28/P28,0)</x:f>
        <x:v>133.73617096903186</x:v>
      </x:c>
      <x:c r="S28" s="18" t="n">
        <x:f>IF(F28="BUY",-H28,IF(F28="SELL",-G28*R28,0))</x:f>
        <x:v>405</x:v>
      </x:c>
      <x:c r="T28" s="18" t="n">
        <x:f>IF(F28="SELL",IF(G28&gt;P28+0.000001,"REVIEW",H28-G28*R28),0)</x:f>
        <x:v>0</x:v>
      </x:c>
      <x:c r="U28" s="17" t="n">
        <x:f>P28+O28</x:f>
        <x:v>5.2507</x:v>
      </x:c>
      <x:c r="V28" s="18" t="n">
        <x:f>Q28+S28</x:f>
        <x:v>706</x:v>
      </x:c>
      <x:c r="W28" s="18" t="n">
        <x:f>IF(F28="DIV",H28,0)</x:f>
        <x:v>0</x:v>
      </x:c>
      <x:c r="X28" s="18" t="n">
        <x:f>IF(F28="CONT",H28,0)</x:f>
        <x:v>0</x:v>
      </x:c>
      <x:c r="Y28" s="2" t="str">
        <x:f>TEXT(C28,"yyyy-mm")</x:f>
        <x:v>2024-07</x:v>
      </x:c>
      <x:c r="Z28" s="2" t="str">
        <x:f>IF(OR(AND(F28="STKREORG",N28&lt;&gt;"Applied 4-for-1 CDR split"),AND(F28="SELL",G28&gt;P28+0.000001)),"REVIEW","OK")</x:f>
        <x:v>OK</x:v>
      </x:c>
    </x:row>
    <x:row r="29" ht="21" customHeight="1">
      <x:c r="A29" s="2"/>
      <x:c r="B29" s="2" t="str">
        <x:v>7d5aab8eb818746f6e58</x:v>
      </x:c>
      <x:c r="C29" s="16" t="d">
        <x:v>2024-07-10T00:00:00.000Z</x:v>
      </x:c>
      <x:c r="D29" s="16" t="d">
        <x:v>2024-07-10T00:00:00.000Z</x:v>
      </x:c>
      <x:c r="E29" s="2" t="str">
        <x:v>NVDA_CDR</x:v>
      </x:c>
      <x:c r="F29" s="2" t="str">
        <x:v>STKREORG</x:v>
      </x:c>
      <x:c r="G29" s="17" t="n">
        <x:v>3</x:v>
      </x:c>
      <x:c r="H29" s="18" t="n">
        <x:v>0</x:v>
      </x:c>
      <x:c r="I29" s="18" t="str">
        <x:v>CAD</x:v>
      </x:c>
      <x:c r="J29" s="18" t="n">
        <x:v>213.17</x:v>
      </x:c>
      <x:c r="K29" s="2" t="str">
        <x:v>TFSA-monthly-statement-transactions-DEMO_CAD-2024-07-01.csv</x:v>
      </x:c>
      <x:c r="L29" s="2" t="n">
        <x:v>25</x:v>
      </x:c>
      <x:c r="M29" s="2" t="str">
        <x:v>NVDA - Nvidia Corp: stock reorganization (executed at 2024-07-10)</x:v>
      </x:c>
      <x:c r="N29" s="2" t="str">
        <x:v>Applied 4-for-1 CDR split</x:v>
      </x:c>
      <x:c r="O29" s="17" t="n">
        <x:f>IF(F29="BUY",G29,IF(F29="SELL",-G29,IF(AND(F29="STKREORG",N29="Applied 4-for-1 CDR split"),G29,0)))</x:f>
        <x:v>3</x:v>
      </x:c>
      <x:c r="P29" s="17" t="n">
        <x:f>SUMIF($E$6:E28,E29,$O$6:O28)</x:f>
        <x:v>1</x:v>
      </x:c>
      <x:c r="Q29" s="18" t="n">
        <x:f>SUMIF($E$6:E28,E29,$S$6:S28)</x:f>
        <x:v>120.27</x:v>
      </x:c>
      <x:c r="R29" s="18" t="n">
        <x:f>IF(P29&gt;0,Q29/P29,0)</x:f>
        <x:v>120.27</x:v>
      </x:c>
      <x:c r="S29" s="18" t="n">
        <x:f>IF(F29="BUY",-H29,IF(F29="SELL",-G29*R29,0))</x:f>
        <x:v>0</x:v>
      </x:c>
      <x:c r="T29" s="18" t="n">
        <x:f>IF(F29="SELL",IF(G29&gt;P29+0.000001,"REVIEW",H29-G29*R29),0)</x:f>
        <x:v>0</x:v>
      </x:c>
      <x:c r="U29" s="17" t="n">
        <x:f>P29+O29</x:f>
        <x:v>4</x:v>
      </x:c>
      <x:c r="V29" s="18" t="n">
        <x:f>Q29+S29</x:f>
        <x:v>120.27</x:v>
      </x:c>
      <x:c r="W29" s="18" t="n">
        <x:f>IF(F29="DIV",H29,0)</x:f>
        <x:v>0</x:v>
      </x:c>
      <x:c r="X29" s="18" t="n">
        <x:f>IF(F29="CONT",H29,0)</x:f>
        <x:v>0</x:v>
      </x:c>
      <x:c r="Y29" s="2" t="str">
        <x:f>TEXT(C29,"yyyy-mm")</x:f>
        <x:v>2024-07</x:v>
      </x:c>
      <x:c r="Z29" s="2" t="str">
        <x:f>IF(OR(AND(F29="STKREORG",N29&lt;&gt;"Applied 4-for-1 CDR split"),AND(F29="SELL",G29&gt;P29+0.000001)),"REVIEW","OK")</x:f>
        <x:v>OK</x:v>
      </x:c>
    </x:row>
    <x:row r="30" ht="21" customHeight="1">
      <x:c r="A30" s="2"/>
      <x:c r="B30" s="2" t="str">
        <x:v>47eec1e4dbb9a08138a9</x:v>
      </x:c>
      <x:c r="C30" s="16" t="d">
        <x:v>2024-07-12T00:00:00.000Z</x:v>
      </x:c>
      <x:c r="D30" s="16" t="d">
        <x:v>2024-07-11T00:00:00.000Z</x:v>
      </x:c>
      <x:c r="E30" s="2" t="str">
        <x:v>CJP_ORD</x:v>
      </x:c>
      <x:c r="F30" s="2" t="str">
        <x:v>BUY</x:v>
      </x:c>
      <x:c r="G30" s="17" t="n">
        <x:v>1</x:v>
      </x:c>
      <x:c r="H30" s="18" t="n">
        <x:v>-29.47</x:v>
      </x:c>
      <x:c r="I30" s="18" t="str">
        <x:v>CAD</x:v>
      </x:c>
      <x:c r="J30" s="18" t="n">
        <x:v>183.7</x:v>
      </x:c>
      <x:c r="K30" s="2" t="str">
        <x:v>TFSA-monthly-statement-transactions-DEMO_CAD-2024-07-01.csv</x:v>
      </x:c>
      <x:c r="L30" s="2" t="n">
        <x:v>26</x:v>
      </x:c>
      <x:c r="M30" s="2" t="str">
        <x:v>CJP - BlackRock iShares Japan Fundamental Index ETF CAD-Hedged: Bought 1.0000 shares (executed at 2024-07-11)</x:v>
      </x:c>
      <x:c r="N30" s="2" t="str">
        <x:v>Imported</x:v>
      </x:c>
      <x:c r="O30" s="17" t="n">
        <x:f>IF(F30="BUY",G30,IF(F30="SELL",-G30,IF(AND(F30="STKREORG",N30="Applied 4-for-1 CDR split"),G30,0)))</x:f>
        <x:v>1</x:v>
      </x:c>
      <x:c r="P30" s="17" t="n">
        <x:f>SUMIF($E$6:E29,E30,$O$6:O29)</x:f>
        <x:v>0</x:v>
      </x:c>
      <x:c r="Q30" s="18" t="n">
        <x:f>SUMIF($E$6:E29,E30,$S$6:S29)</x:f>
        <x:v>0</x:v>
      </x:c>
      <x:c r="R30" s="18" t="n">
        <x:f>IF(P30&gt;0,Q30/P30,0)</x:f>
        <x:v>0</x:v>
      </x:c>
      <x:c r="S30" s="18" t="n">
        <x:f>IF(F30="BUY",-H30,IF(F30="SELL",-G30*R30,0))</x:f>
        <x:v>29.47</x:v>
      </x:c>
      <x:c r="T30" s="18" t="n">
        <x:f>IF(F30="SELL",IF(G30&gt;P30+0.000001,"REVIEW",H30-G30*R30),0)</x:f>
        <x:v>0</x:v>
      </x:c>
      <x:c r="U30" s="17" t="n">
        <x:f>P30+O30</x:f>
        <x:v>1</x:v>
      </x:c>
      <x:c r="V30" s="18" t="n">
        <x:f>Q30+S30</x:f>
        <x:v>29.47</x:v>
      </x:c>
      <x:c r="W30" s="18" t="n">
        <x:f>IF(F30="DIV",H30,0)</x:f>
        <x:v>0</x:v>
      </x:c>
      <x:c r="X30" s="18" t="n">
        <x:f>IF(F30="CONT",H30,0)</x:f>
        <x:v>0</x:v>
      </x:c>
      <x:c r="Y30" s="2" t="str">
        <x:f>TEXT(C30,"yyyy-mm")</x:f>
        <x:v>2024-07</x:v>
      </x:c>
      <x:c r="Z30" s="2" t="str">
        <x:f>IF(OR(AND(F30="STKREORG",N30&lt;&gt;"Applied 4-for-1 CDR split"),AND(F30="SELL",G30&gt;P30+0.000001)),"REVIEW","OK")</x:f>
        <x:v>OK</x:v>
      </x:c>
    </x:row>
    <x:row r="31" ht="21" customHeight="1">
      <x:c r="A31" s="2"/>
      <x:c r="B31" s="2" t="str">
        <x:v>cfd9cc4079a2c396469d</x:v>
      </x:c>
      <x:c r="C31" s="16" t="d">
        <x:v>2024-07-12T00:00:00.000Z</x:v>
      </x:c>
      <x:c r="D31" s="16" t="d">
        <x:v>2024-07-11T00:00:00.000Z</x:v>
      </x:c>
      <x:c r="E31" s="2" t="str">
        <x:v>VFV_ORD</x:v>
      </x:c>
      <x:c r="F31" s="2" t="str">
        <x:v>BUY</x:v>
      </x:c>
      <x:c r="G31" s="17" t="n">
        <x:v>0.6414</x:v>
      </x:c>
      <x:c r="H31" s="18" t="n">
        <x:v>-87.27</x:v>
      </x:c>
      <x:c r="I31" s="18" t="str">
        <x:v>CAD</x:v>
      </x:c>
      <x:c r="J31" s="18" t="n">
        <x:v>96.43</x:v>
      </x:c>
      <x:c r="K31" s="2" t="str">
        <x:v>TFSA-monthly-statement-transactions-DEMO_CAD-2024-07-01.csv</x:v>
      </x:c>
      <x:c r="L31" s="2" t="n">
        <x:v>27</x:v>
      </x:c>
      <x:c r="M31" s="2" t="str">
        <x:v>VFV - Vanguard S&amp;P 500 Index ETF: Bought 0.6414 shares (executed at 2024-07-11)</x:v>
      </x:c>
      <x:c r="N31" s="2" t="str">
        <x:v>Imported</x:v>
      </x:c>
      <x:c r="O31" s="17" t="n">
        <x:f>IF(F31="BUY",G31,IF(F31="SELL",-G31,IF(AND(F31="STKREORG",N31="Applied 4-for-1 CDR split"),G31,0)))</x:f>
        <x:v>0.6414</x:v>
      </x:c>
      <x:c r="P31" s="17" t="n">
        <x:f>SUMIF($E$6:E30,E31,$O$6:O30)</x:f>
        <x:v>5.2507</x:v>
      </x:c>
      <x:c r="Q31" s="18" t="n">
        <x:f>SUMIF($E$6:E30,E31,$S$6:S30)</x:f>
        <x:v>706</x:v>
      </x:c>
      <x:c r="R31" s="18" t="n">
        <x:f>IF(P31&gt;0,Q31/P31,0)</x:f>
        <x:v>134.45826270782942</x:v>
      </x:c>
      <x:c r="S31" s="18" t="n">
        <x:f>IF(F31="BUY",-H31,IF(F31="SELL",-G31*R31,0))</x:f>
        <x:v>87.27</x:v>
      </x:c>
      <x:c r="T31" s="18" t="n">
        <x:f>IF(F31="SELL",IF(G31&gt;P31+0.000001,"REVIEW",H31-G31*R31),0)</x:f>
        <x:v>0</x:v>
      </x:c>
      <x:c r="U31" s="17" t="n">
        <x:f>P31+O31</x:f>
        <x:v>5.8921</x:v>
      </x:c>
      <x:c r="V31" s="18" t="n">
        <x:f>Q31+S31</x:f>
        <x:v>793.27</x:v>
      </x:c>
      <x:c r="W31" s="18" t="n">
        <x:f>IF(F31="DIV",H31,0)</x:f>
        <x:v>0</x:v>
      </x:c>
      <x:c r="X31" s="18" t="n">
        <x:f>IF(F31="CONT",H31,0)</x:f>
        <x:v>0</x:v>
      </x:c>
      <x:c r="Y31" s="2" t="str">
        <x:f>TEXT(C31,"yyyy-mm")</x:f>
        <x:v>2024-07</x:v>
      </x:c>
      <x:c r="Z31" s="2" t="str">
        <x:f>IF(OR(AND(F31="STKREORG",N31&lt;&gt;"Applied 4-for-1 CDR split"),AND(F31="SELL",G31&gt;P31+0.000001)),"REVIEW","OK")</x:f>
        <x:v>OK</x:v>
      </x:c>
    </x:row>
    <x:row r="32" ht="21" customHeight="1">
      <x:c r="A32" s="2"/>
      <x:c r="B32" s="2" t="str">
        <x:v>97ff0c5a4fd41eef56e2</x:v>
      </x:c>
      <x:c r="C32" s="16" t="d">
        <x:v>2024-07-12T00:00:00.000Z</x:v>
      </x:c>
      <x:c r="D32" s="16" t="d">
        <x:v>2024-07-11T00:00:00.000Z</x:v>
      </x:c>
      <x:c r="E32" s="2" t="str">
        <x:v>AAPL_CDR</x:v>
      </x:c>
      <x:c r="F32" s="2" t="str">
        <x:v>BUY</x:v>
      </x:c>
      <x:c r="G32" s="17" t="n">
        <x:v>1</x:v>
      </x:c>
      <x:c r="H32" s="18" t="n">
        <x:v>-33.73</x:v>
      </x:c>
      <x:c r="I32" s="18" t="str">
        <x:v>CAD</x:v>
      </x:c>
      <x:c r="J32" s="18" t="n">
        <x:v>62.7</x:v>
      </x:c>
      <x:c r="K32" s="2" t="str">
        <x:v>TFSA-monthly-statement-transactions-DEMO_CAD-2024-07-01.csv</x:v>
      </x:c>
      <x:c r="L32" s="2" t="n">
        <x:v>28</x:v>
      </x:c>
      <x:c r="M32" s="2" t="str">
        <x:v>AAPL - Apple CDR (CAD Hedged) : Bought 1.0000 shares (executed at 2024-07-11)</x:v>
      </x:c>
      <x:c r="N32" s="2" t="str">
        <x:v>Imported</x:v>
      </x:c>
      <x:c r="O32" s="17" t="n">
        <x:f>IF(F32="BUY",G32,IF(F32="SELL",-G32,IF(AND(F32="STKREORG",N32="Applied 4-for-1 CDR split"),G32,0)))</x:f>
        <x:v>1</x:v>
      </x:c>
      <x:c r="P32" s="17" t="n">
        <x:f>SUMIF($E$6:E31,E32,$O$6:O31)</x:f>
        <x:v>1</x:v>
      </x:c>
      <x:c r="Q32" s="18" t="n">
        <x:f>SUMIF($E$6:E31,E32,$S$6:S31)</x:f>
        <x:v>33.65</x:v>
      </x:c>
      <x:c r="R32" s="18" t="n">
        <x:f>IF(P32&gt;0,Q32/P32,0)</x:f>
        <x:v>33.65</x:v>
      </x:c>
      <x:c r="S32" s="18" t="n">
        <x:f>IF(F32="BUY",-H32,IF(F32="SELL",-G32*R32,0))</x:f>
        <x:v>33.73</x:v>
      </x:c>
      <x:c r="T32" s="18" t="n">
        <x:f>IF(F32="SELL",IF(G32&gt;P32+0.000001,"REVIEW",H32-G32*R32),0)</x:f>
        <x:v>0</x:v>
      </x:c>
      <x:c r="U32" s="17" t="n">
        <x:f>P32+O32</x:f>
        <x:v>2</x:v>
      </x:c>
      <x:c r="V32" s="18" t="n">
        <x:f>Q32+S32</x:f>
        <x:v>67.38</x:v>
      </x:c>
      <x:c r="W32" s="18" t="n">
        <x:f>IF(F32="DIV",H32,0)</x:f>
        <x:v>0</x:v>
      </x:c>
      <x:c r="X32" s="18" t="n">
        <x:f>IF(F32="CONT",H32,0)</x:f>
        <x:v>0</x:v>
      </x:c>
      <x:c r="Y32" s="2" t="str">
        <x:f>TEXT(C32,"yyyy-mm")</x:f>
        <x:v>2024-07</x:v>
      </x:c>
      <x:c r="Z32" s="2" t="str">
        <x:f>IF(OR(AND(F32="STKREORG",N32&lt;&gt;"Applied 4-for-1 CDR split"),AND(F32="SELL",G32&gt;P32+0.000001)),"REVIEW","OK")</x:f>
        <x:v>OK</x:v>
      </x:c>
    </x:row>
    <x:row r="33" ht="21" customHeight="1">
      <x:c r="A33" s="2"/>
      <x:c r="B33" s="2" t="str">
        <x:v>cc266158c725ca405bbb</x:v>
      </x:c>
      <x:c r="C33" s="16" t="d">
        <x:v>2024-07-15T00:00:00.000Z</x:v>
      </x:c>
      <x:c r="D33" s="16" t="d">
        <x:v>2024-07-16T00:00:00.000Z</x:v>
      </x:c>
      <x:c r="E33" s="2" t="str"/>
      <x:c r="F33" s="2" t="str">
        <x:v>CONT</x:v>
      </x:c>
      <x:c r="G33" s="17" t="n">
        <x:v>0</x:v>
      </x:c>
      <x:c r="H33" s="18" t="n">
        <x:v>2000</x:v>
      </x:c>
      <x:c r="I33" s="18" t="str">
        <x:v>CAD</x:v>
      </x:c>
      <x:c r="J33" s="18" t="n">
        <x:v>2062.71</x:v>
      </x:c>
      <x:c r="K33" s="2" t="str">
        <x:v>TFSA-monthly-statement-transactions-DEMO_CAD-2024-07-01.csv</x:v>
      </x:c>
      <x:c r="L33" s="2" t="n">
        <x:v>29</x:v>
      </x:c>
      <x:c r="M33" s="2" t="str">
        <x:v>Contribution (executed at 2024-07-16)</x:v>
      </x:c>
      <x:c r="N33" s="2" t="str">
        <x:v>Imported</x:v>
      </x:c>
      <x:c r="O33" s="17" t="n">
        <x:f>IF(F33="BUY",G33,IF(F33="SELL",-G33,IF(AND(F33="STKREORG",N33="Applied 4-for-1 CDR split"),G33,0)))</x:f>
        <x:v>0</x:v>
      </x:c>
      <x:c r="P33" s="17" t="n">
        <x:f>SUMIF($E$6:E32,E33,$O$6:O32)</x:f>
        <x:v>0</x:v>
      </x:c>
      <x:c r="Q33" s="18" t="n">
        <x:f>SUMIF($E$6:E32,E33,$S$6:S32)</x:f>
        <x:v>0</x:v>
      </x:c>
      <x:c r="R33" s="18" t="n">
        <x:f>IF(P33&gt;0,Q33/P33,0)</x:f>
        <x:v>0</x:v>
      </x:c>
      <x:c r="S33" s="18" t="n">
        <x:f>IF(F33="BUY",-H33,IF(F33="SELL",-G33*R33,0))</x:f>
        <x:v>0</x:v>
      </x:c>
      <x:c r="T33" s="18" t="n">
        <x:f>IF(F33="SELL",IF(G33&gt;P33+0.000001,"REVIEW",H33-G33*R33),0)</x:f>
        <x:v>0</x:v>
      </x:c>
      <x:c r="U33" s="17" t="n">
        <x:f>P33+O33</x:f>
        <x:v>0</x:v>
      </x:c>
      <x:c r="V33" s="18" t="n">
        <x:f>Q33+S33</x:f>
        <x:v>0</x:v>
      </x:c>
      <x:c r="W33" s="18" t="n">
        <x:f>IF(F33="DIV",H33,0)</x:f>
        <x:v>0</x:v>
      </x:c>
      <x:c r="X33" s="18" t="n">
        <x:f>IF(F33="CONT",H33,0)</x:f>
        <x:v>2000</x:v>
      </x:c>
      <x:c r="Y33" s="2" t="str">
        <x:f>TEXT(C33,"yyyy-mm")</x:f>
        <x:v>2024-07</x:v>
      </x:c>
      <x:c r="Z33" s="2" t="str">
        <x:f>IF(OR(AND(F33="STKREORG",N33&lt;&gt;"Applied 4-for-1 CDR split"),AND(F33="SELL",G33&gt;P33+0.000001)),"REVIEW","OK")</x:f>
        <x:v>OK</x:v>
      </x:c>
    </x:row>
    <x:row r="34" ht="21" customHeight="1">
      <x:c r="A34" s="2"/>
      <x:c r="B34" s="2" t="str">
        <x:v>7c55e0620e7e64b6c919</x:v>
      </x:c>
      <x:c r="C34" s="16" t="d">
        <x:v>2024-07-16T00:00:00.000Z</x:v>
      </x:c>
      <x:c r="D34" s="16" t="d">
        <x:v>2024-07-15T00:00:00.000Z</x:v>
      </x:c>
      <x:c r="E34" s="2" t="str">
        <x:v>VFV_ORD</x:v>
      </x:c>
      <x:c r="F34" s="2" t="str">
        <x:v>BUY</x:v>
      </x:c>
      <x:c r="G34" s="17" t="n">
        <x:v>0.4589</x:v>
      </x:c>
      <x:c r="H34" s="18" t="n">
        <x:v>-62.7</x:v>
      </x:c>
      <x:c r="I34" s="18" t="str">
        <x:v>CAD</x:v>
      </x:c>
      <x:c r="J34" s="18" t="n">
        <x:v>2000.01</x:v>
      </x:c>
      <x:c r="K34" s="2" t="str">
        <x:v>TFSA-monthly-statement-transactions-DEMO_CAD-2024-07-01.csv</x:v>
      </x:c>
      <x:c r="L34" s="2" t="n">
        <x:v>30</x:v>
      </x:c>
      <x:c r="M34" s="2" t="str">
        <x:v>VFV - Vanguard S&amp;P 500 Index ETF: Bought 0.4589 shares (executed at 2024-07-15)</x:v>
      </x:c>
      <x:c r="N34" s="2" t="str">
        <x:v>Imported</x:v>
      </x:c>
      <x:c r="O34" s="17" t="n">
        <x:f>IF(F34="BUY",G34,IF(F34="SELL",-G34,IF(AND(F34="STKREORG",N34="Applied 4-for-1 CDR split"),G34,0)))</x:f>
        <x:v>0.4589</x:v>
      </x:c>
      <x:c r="P34" s="17" t="n">
        <x:f>SUMIF($E$6:E33,E34,$O$6:O33)</x:f>
        <x:v>5.8921</x:v>
      </x:c>
      <x:c r="Q34" s="18" t="n">
        <x:f>SUMIF($E$6:E33,E34,$S$6:S33)</x:f>
        <x:v>793.27</x:v>
      </x:c>
      <x:c r="R34" s="18" t="n">
        <x:f>IF(P34&gt;0,Q34/P34,0)</x:f>
        <x:v>134.63281342814955</x:v>
      </x:c>
      <x:c r="S34" s="18" t="n">
        <x:f>IF(F34="BUY",-H34,IF(F34="SELL",-G34*R34,0))</x:f>
        <x:v>62.7</x:v>
      </x:c>
      <x:c r="T34" s="18" t="n">
        <x:f>IF(F34="SELL",IF(G34&gt;P34+0.000001,"REVIEW",H34-G34*R34),0)</x:f>
        <x:v>0</x:v>
      </x:c>
      <x:c r="U34" s="17" t="n">
        <x:f>P34+O34</x:f>
        <x:v>6.351</x:v>
      </x:c>
      <x:c r="V34" s="18" t="n">
        <x:f>Q34+S34</x:f>
        <x:v>855.97</x:v>
      </x:c>
      <x:c r="W34" s="18" t="n">
        <x:f>IF(F34="DIV",H34,0)</x:f>
        <x:v>0</x:v>
      </x:c>
      <x:c r="X34" s="18" t="n">
        <x:f>IF(F34="CONT",H34,0)</x:f>
        <x:v>0</x:v>
      </x:c>
      <x:c r="Y34" s="2" t="str">
        <x:f>TEXT(C34,"yyyy-mm")</x:f>
        <x:v>2024-07</x:v>
      </x:c>
      <x:c r="Z34" s="2" t="str">
        <x:f>IF(OR(AND(F34="STKREORG",N34&lt;&gt;"Applied 4-for-1 CDR split"),AND(F34="SELL",G34&gt;P34+0.000001)),"REVIEW","OK")</x:f>
        <x:v>OK</x:v>
      </x:c>
    </x:row>
    <x:row r="35" ht="21" customHeight="1">
      <x:c r="A35" s="2"/>
      <x:c r="B35" s="2" t="str">
        <x:v>8b3d0a81d6e4ab49bd5d</x:v>
      </x:c>
      <x:c r="C35" s="16" t="d">
        <x:v>2024-07-16T00:00:00.000Z</x:v>
      </x:c>
      <x:c r="D35" s="16" t="d">
        <x:v>2024-07-16T00:00:00.000Z</x:v>
      </x:c>
      <x:c r="E35" s="2" t="str"/>
      <x:c r="F35" s="2" t="str">
        <x:v>CONT</x:v>
      </x:c>
      <x:c r="G35" s="17" t="n">
        <x:v>0</x:v>
      </x:c>
      <x:c r="H35" s="18" t="n">
        <x:v>55</x:v>
      </x:c>
      <x:c r="I35" s="18" t="str">
        <x:v>CAD</x:v>
      </x:c>
      <x:c r="J35" s="18" t="n">
        <x:v>2055.01</x:v>
      </x:c>
      <x:c r="K35" s="2" t="str">
        <x:v>TFSA-monthly-statement-transactions-DEMO_CAD-2024-07-01.csv</x:v>
      </x:c>
      <x:c r="L35" s="2" t="n">
        <x:v>31</x:v>
      </x:c>
      <x:c r="M35" s="2" t="str">
        <x:v>Contribution (executed at 2024-07-16)</x:v>
      </x:c>
      <x:c r="N35" s="2" t="str">
        <x:v>Imported</x:v>
      </x:c>
      <x:c r="O35" s="17" t="n">
        <x:f>IF(F35="BUY",G35,IF(F35="SELL",-G35,IF(AND(F35="STKREORG",N35="Applied 4-for-1 CDR split"),G35,0)))</x:f>
        <x:v>0</x:v>
      </x:c>
      <x:c r="P35" s="17" t="n">
        <x:f>SUMIF($E$6:E34,E35,$O$6:O34)</x:f>
        <x:v>0</x:v>
      </x:c>
      <x:c r="Q35" s="18" t="n">
        <x:f>SUMIF($E$6:E34,E35,$S$6:S34)</x:f>
        <x:v>0</x:v>
      </x:c>
      <x:c r="R35" s="18" t="n">
        <x:f>IF(P35&gt;0,Q35/P35,0)</x:f>
        <x:v>0</x:v>
      </x:c>
      <x:c r="S35" s="18" t="n">
        <x:f>IF(F35="BUY",-H35,IF(F35="SELL",-G35*R35,0))</x:f>
        <x:v>0</x:v>
      </x:c>
      <x:c r="T35" s="18" t="n">
        <x:f>IF(F35="SELL",IF(G35&gt;P35+0.000001,"REVIEW",H35-G35*R35),0)</x:f>
        <x:v>0</x:v>
      </x:c>
      <x:c r="U35" s="17" t="n">
        <x:f>P35+O35</x:f>
        <x:v>0</x:v>
      </x:c>
      <x:c r="V35" s="18" t="n">
        <x:f>Q35+S35</x:f>
        <x:v>0</x:v>
      </x:c>
      <x:c r="W35" s="18" t="n">
        <x:f>IF(F35="DIV",H35,0)</x:f>
        <x:v>0</x:v>
      </x:c>
      <x:c r="X35" s="18" t="n">
        <x:f>IF(F35="CONT",H35,0)</x:f>
        <x:v>55</x:v>
      </x:c>
      <x:c r="Y35" s="2" t="str">
        <x:f>TEXT(C35,"yyyy-mm")</x:f>
        <x:v>2024-07</x:v>
      </x:c>
      <x:c r="Z35" s="2" t="str">
        <x:f>IF(OR(AND(F35="STKREORG",N35&lt;&gt;"Applied 4-for-1 CDR split"),AND(F35="SELL",G35&gt;P35+0.000001)),"REVIEW","OK")</x:f>
        <x:v>OK</x:v>
      </x:c>
    </x:row>
    <x:row r="36" ht="21" customHeight="1">
      <x:c r="A36" s="2"/>
      <x:c r="B36" s="2" t="str">
        <x:v>5d57995ac5e741d1146a</x:v>
      </x:c>
      <x:c r="C36" s="16" t="d">
        <x:v>2024-07-17T00:00:00.000Z</x:v>
      </x:c>
      <x:c r="D36" s="16" t="d">
        <x:v>2024-07-16T00:00:00.000Z</x:v>
      </x:c>
      <x:c r="E36" s="2" t="str">
        <x:v>AMZN_CDR</x:v>
      </x:c>
      <x:c r="F36" s="2" t="str">
        <x:v>BUY</x:v>
      </x:c>
      <x:c r="G36" s="17" t="n">
        <x:v>2</x:v>
      </x:c>
      <x:c r="H36" s="18" t="n">
        <x:v>-46.96</x:v>
      </x:c>
      <x:c r="I36" s="18" t="str">
        <x:v>CAD</x:v>
      </x:c>
      <x:c r="J36" s="18" t="n">
        <x:v>2008.05</x:v>
      </x:c>
      <x:c r="K36" s="2" t="str">
        <x:v>TFSA-monthly-statement-transactions-DEMO_CAD-2024-07-01.csv</x:v>
      </x:c>
      <x:c r="L36" s="2" t="n">
        <x:v>32</x:v>
      </x:c>
      <x:c r="M36" s="2" t="str">
        <x:v>AMZN - Amazon.com CDR (CAD Hedged): Bought 2.0000 shares (executed at 2024-07-16)</x:v>
      </x:c>
      <x:c r="N36" s="2" t="str">
        <x:v>Imported</x:v>
      </x:c>
      <x:c r="O36" s="17" t="n">
        <x:f>IF(F36="BUY",G36,IF(F36="SELL",-G36,IF(AND(F36="STKREORG",N36="Applied 4-for-1 CDR split"),G36,0)))</x:f>
        <x:v>2</x:v>
      </x:c>
      <x:c r="P36" s="17" t="n">
        <x:f>SUMIF($E$6:E35,E36,$O$6:O35)</x:f>
        <x:v>0</x:v>
      </x:c>
      <x:c r="Q36" s="18" t="n">
        <x:f>SUMIF($E$6:E35,E36,$S$6:S35)</x:f>
        <x:v>0</x:v>
      </x:c>
      <x:c r="R36" s="18" t="n">
        <x:f>IF(P36&gt;0,Q36/P36,0)</x:f>
        <x:v>0</x:v>
      </x:c>
      <x:c r="S36" s="18" t="n">
        <x:f>IF(F36="BUY",-H36,IF(F36="SELL",-G36*R36,0))</x:f>
        <x:v>46.96</x:v>
      </x:c>
      <x:c r="T36" s="18" t="n">
        <x:f>IF(F36="SELL",IF(G36&gt;P36+0.000001,"REVIEW",H36-G36*R36),0)</x:f>
        <x:v>0</x:v>
      </x:c>
      <x:c r="U36" s="17" t="n">
        <x:f>P36+O36</x:f>
        <x:v>2</x:v>
      </x:c>
      <x:c r="V36" s="18" t="n">
        <x:f>Q36+S36</x:f>
        <x:v>46.96</x:v>
      </x:c>
      <x:c r="W36" s="18" t="n">
        <x:f>IF(F36="DIV",H36,0)</x:f>
        <x:v>0</x:v>
      </x:c>
      <x:c r="X36" s="18" t="n">
        <x:f>IF(F36="CONT",H36,0)</x:f>
        <x:v>0</x:v>
      </x:c>
      <x:c r="Y36" s="2" t="str">
        <x:f>TEXT(C36,"yyyy-mm")</x:f>
        <x:v>2024-07</x:v>
      </x:c>
      <x:c r="Z36" s="2" t="str">
        <x:f>IF(OR(AND(F36="STKREORG",N36&lt;&gt;"Applied 4-for-1 CDR split"),AND(F36="SELL",G36&gt;P36+0.000001)),"REVIEW","OK")</x:f>
        <x:v>OK</x:v>
      </x:c>
    </x:row>
    <x:row r="37" ht="21" customHeight="1">
      <x:c r="A37" s="2"/>
      <x:c r="B37" s="2" t="str">
        <x:v>b0d3679488f592ecd7a4</x:v>
      </x:c>
      <x:c r="C37" s="16" t="d">
        <x:v>2024-07-17T00:00:00.000Z</x:v>
      </x:c>
      <x:c r="D37" s="16" t="d">
        <x:v>2024-07-16T00:00:00.000Z</x:v>
      </x:c>
      <x:c r="E37" s="2" t="str">
        <x:v>CASH_ORD</x:v>
      </x:c>
      <x:c r="F37" s="2" t="str">
        <x:v>BUY</x:v>
      </x:c>
      <x:c r="G37" s="17" t="n">
        <x:v>5</x:v>
      </x:c>
      <x:c r="H37" s="18" t="n">
        <x:v>-250.55</x:v>
      </x:c>
      <x:c r="I37" s="18" t="str">
        <x:v>CAD</x:v>
      </x:c>
      <x:c r="J37" s="18" t="n">
        <x:v>1757.5</x:v>
      </x:c>
      <x:c r="K37" s="2" t="str">
        <x:v>TFSA-monthly-statement-transactions-DEMO_CAD-2024-07-01.csv</x:v>
      </x:c>
      <x:c r="L37" s="2" t="n">
        <x:v>33</x:v>
      </x:c>
      <x:c r="M37" s="2" t="str">
        <x:v>CASH - Global X High Interest Savings ETF: Bought 5.0000 shares (executed at 2024-07-16)</x:v>
      </x:c>
      <x:c r="N37" s="2" t="str">
        <x:v>Imported</x:v>
      </x:c>
      <x:c r="O37" s="17" t="n">
        <x:f>IF(F37="BUY",G37,IF(F37="SELL",-G37,IF(AND(F37="STKREORG",N37="Applied 4-for-1 CDR split"),G37,0)))</x:f>
        <x:v>5</x:v>
      </x:c>
      <x:c r="P37" s="17" t="n">
        <x:f>SUMIF($E$6:E36,E37,$O$6:O36)</x:f>
        <x:v>3</x:v>
      </x:c>
      <x:c r="Q37" s="18" t="n">
        <x:f>SUMIF($E$6:E36,E37,$S$6:S36)</x:f>
        <x:v>150.18</x:v>
      </x:c>
      <x:c r="R37" s="18" t="n">
        <x:f>IF(P37&gt;0,Q37/P37,0)</x:f>
        <x:v>50.06</x:v>
      </x:c>
      <x:c r="S37" s="18" t="n">
        <x:f>IF(F37="BUY",-H37,IF(F37="SELL",-G37*R37,0))</x:f>
        <x:v>250.55</x:v>
      </x:c>
      <x:c r="T37" s="18" t="n">
        <x:f>IF(F37="SELL",IF(G37&gt;P37+0.000001,"REVIEW",H37-G37*R37),0)</x:f>
        <x:v>0</x:v>
      </x:c>
      <x:c r="U37" s="17" t="n">
        <x:f>P37+O37</x:f>
        <x:v>8</x:v>
      </x:c>
      <x:c r="V37" s="18" t="n">
        <x:f>Q37+S37</x:f>
        <x:v>400.73</x:v>
      </x:c>
      <x:c r="W37" s="18" t="n">
        <x:f>IF(F37="DIV",H37,0)</x:f>
        <x:v>0</x:v>
      </x:c>
      <x:c r="X37" s="18" t="n">
        <x:f>IF(F37="CONT",H37,0)</x:f>
        <x:v>0</x:v>
      </x:c>
      <x:c r="Y37" s="2" t="str">
        <x:f>TEXT(C37,"yyyy-mm")</x:f>
        <x:v>2024-07</x:v>
      </x:c>
      <x:c r="Z37" s="2" t="str">
        <x:f>IF(OR(AND(F37="STKREORG",N37&lt;&gt;"Applied 4-for-1 CDR split"),AND(F37="SELL",G37&gt;P37+0.000001)),"REVIEW","OK")</x:f>
        <x:v>OK</x:v>
      </x:c>
    </x:row>
    <x:row r="38" ht="21" customHeight="1">
      <x:c r="A38" s="2"/>
      <x:c r="B38" s="2" t="str">
        <x:v>c6f49df83846a8a04808</x:v>
      </x:c>
      <x:c r="C38" s="16" t="d">
        <x:v>2024-07-17T00:00:00.000Z</x:v>
      </x:c>
      <x:c r="D38" s="16" t="d">
        <x:v>2024-07-16T00:00:00.000Z</x:v>
      </x:c>
      <x:c r="E38" s="2" t="str">
        <x:v>BMO_ORD</x:v>
      </x:c>
      <x:c r="F38" s="2" t="str">
        <x:v>BUY</x:v>
      </x:c>
      <x:c r="G38" s="17" t="n">
        <x:v>1</x:v>
      </x:c>
      <x:c r="H38" s="18" t="n">
        <x:v>-119.2</x:v>
      </x:c>
      <x:c r="I38" s="18" t="str">
        <x:v>CAD</x:v>
      </x:c>
      <x:c r="J38" s="18" t="n">
        <x:v>1638.3</x:v>
      </x:c>
      <x:c r="K38" s="2" t="str">
        <x:v>TFSA-monthly-statement-transactions-DEMO_CAD-2024-07-01.csv</x:v>
      </x:c>
      <x:c r="L38" s="2" t="n">
        <x:v>34</x:v>
      </x:c>
      <x:c r="M38" s="2" t="str">
        <x:v>BMO - Bank of Montreal: Bought 1.0000 shares (executed at 2024-07-16)</x:v>
      </x:c>
      <x:c r="N38" s="2" t="str">
        <x:v>Imported</x:v>
      </x:c>
      <x:c r="O38" s="17" t="n">
        <x:f>IF(F38="BUY",G38,IF(F38="SELL",-G38,IF(AND(F38="STKREORG",N38="Applied 4-for-1 CDR split"),G38,0)))</x:f>
        <x:v>1</x:v>
      </x:c>
      <x:c r="P38" s="17" t="n">
        <x:f>SUMIF($E$6:E37,E38,$O$6:O37)</x:f>
        <x:v>1</x:v>
      </x:c>
      <x:c r="Q38" s="18" t="n">
        <x:f>SUMIF($E$6:E37,E38,$S$6:S37)</x:f>
        <x:v>114.89</x:v>
      </x:c>
      <x:c r="R38" s="18" t="n">
        <x:f>IF(P38&gt;0,Q38/P38,0)</x:f>
        <x:v>114.89</x:v>
      </x:c>
      <x:c r="S38" s="18" t="n">
        <x:f>IF(F38="BUY",-H38,IF(F38="SELL",-G38*R38,0))</x:f>
        <x:v>119.2</x:v>
      </x:c>
      <x:c r="T38" s="18" t="n">
        <x:f>IF(F38="SELL",IF(G38&gt;P38+0.000001,"REVIEW",H38-G38*R38),0)</x:f>
        <x:v>0</x:v>
      </x:c>
      <x:c r="U38" s="17" t="n">
        <x:f>P38+O38</x:f>
        <x:v>2</x:v>
      </x:c>
      <x:c r="V38" s="18" t="n">
        <x:f>Q38+S38</x:f>
        <x:v>234.09</x:v>
      </x:c>
      <x:c r="W38" s="18" t="n">
        <x:f>IF(F38="DIV",H38,0)</x:f>
        <x:v>0</x:v>
      </x:c>
      <x:c r="X38" s="18" t="n">
        <x:f>IF(F38="CONT",H38,0)</x:f>
        <x:v>0</x:v>
      </x:c>
      <x:c r="Y38" s="2" t="str">
        <x:f>TEXT(C38,"yyyy-mm")</x:f>
        <x:v>2024-07</x:v>
      </x:c>
      <x:c r="Z38" s="2" t="str">
        <x:f>IF(OR(AND(F38="STKREORG",N38&lt;&gt;"Applied 4-for-1 CDR split"),AND(F38="SELL",G38&gt;P38+0.000001)),"REVIEW","OK")</x:f>
        <x:v>OK</x:v>
      </x:c>
    </x:row>
    <x:row r="39" ht="21" customHeight="1">
      <x:c r="A39" s="2"/>
      <x:c r="B39" s="2" t="str">
        <x:v>d8e69f08a2ceb6d35454</x:v>
      </x:c>
      <x:c r="C39" s="16" t="d">
        <x:v>2024-07-17T00:00:00.000Z</x:v>
      </x:c>
      <x:c r="D39" s="16" t="d">
        <x:v>2024-07-16T00:00:00.000Z</x:v>
      </x:c>
      <x:c r="E39" s="2" t="str">
        <x:v>VDY_ORD</x:v>
      </x:c>
      <x:c r="F39" s="2" t="str">
        <x:v>BUY</x:v>
      </x:c>
      <x:c r="G39" s="17" t="n">
        <x:v>4</x:v>
      </x:c>
      <x:c r="H39" s="18" t="n">
        <x:v>-179.36</x:v>
      </x:c>
      <x:c r="I39" s="18" t="str">
        <x:v>CAD</x:v>
      </x:c>
      <x:c r="J39" s="18" t="n">
        <x:v>1458.94</x:v>
      </x:c>
      <x:c r="K39" s="2" t="str">
        <x:v>TFSA-monthly-statement-transactions-DEMO_CAD-2024-07-01.csv</x:v>
      </x:c>
      <x:c r="L39" s="2" t="n">
        <x:v>35</x:v>
      </x:c>
      <x:c r="M39" s="2" t="str">
        <x:v>VDY - Vanguard FTSE Canadian High Dividend Yield Index ETF: Bought 4.0000 shares (executed at 2024-07-16)</x:v>
      </x:c>
      <x:c r="N39" s="2" t="str">
        <x:v>Imported</x:v>
      </x:c>
      <x:c r="O39" s="17" t="n">
        <x:f>IF(F39="BUY",G39,IF(F39="SELL",-G39,IF(AND(F39="STKREORG",N39="Applied 4-for-1 CDR split"),G39,0)))</x:f>
        <x:v>4</x:v>
      </x:c>
      <x:c r="P39" s="17" t="n">
        <x:f>SUMIF($E$6:E38,E39,$O$6:O38)</x:f>
        <x:v>0.4924</x:v>
      </x:c>
      <x:c r="Q39" s="18" t="n">
        <x:f>SUMIF($E$6:E38,E39,$S$6:S38)</x:f>
        <x:v>21.49</x:v>
      </x:c>
      <x:c r="R39" s="18" t="n">
        <x:f>IF(P39&gt;0,Q39/P39,0)</x:f>
        <x:v>43.643379366368805</x:v>
      </x:c>
      <x:c r="S39" s="18" t="n">
        <x:f>IF(F39="BUY",-H39,IF(F39="SELL",-G39*R39,0))</x:f>
        <x:v>179.36</x:v>
      </x:c>
      <x:c r="T39" s="18" t="n">
        <x:f>IF(F39="SELL",IF(G39&gt;P39+0.000001,"REVIEW",H39-G39*R39),0)</x:f>
        <x:v>0</x:v>
      </x:c>
      <x:c r="U39" s="17" t="n">
        <x:f>P39+O39</x:f>
        <x:v>4.4924</x:v>
      </x:c>
      <x:c r="V39" s="18" t="n">
        <x:f>Q39+S39</x:f>
        <x:v>200.85000000000002</x:v>
      </x:c>
      <x:c r="W39" s="18" t="n">
        <x:f>IF(F39="DIV",H39,0)</x:f>
        <x:v>0</x:v>
      </x:c>
      <x:c r="X39" s="18" t="n">
        <x:f>IF(F39="CONT",H39,0)</x:f>
        <x:v>0</x:v>
      </x:c>
      <x:c r="Y39" s="2" t="str">
        <x:f>TEXT(C39,"yyyy-mm")</x:f>
        <x:v>2024-07</x:v>
      </x:c>
      <x:c r="Z39" s="2" t="str">
        <x:f>IF(OR(AND(F39="STKREORG",N39&lt;&gt;"Applied 4-for-1 CDR split"),AND(F39="SELL",G39&gt;P39+0.000001)),"REVIEW","OK")</x:f>
        <x:v>OK</x:v>
      </x:c>
    </x:row>
    <x:row r="40" ht="21" customHeight="1">
      <x:c r="A40" s="2"/>
      <x:c r="B40" s="2" t="str">
        <x:v>3157c67261898d7d4087</x:v>
      </x:c>
      <x:c r="C40" s="16" t="d">
        <x:v>2024-07-17T00:00:00.000Z</x:v>
      </x:c>
      <x:c r="D40" s="16" t="d">
        <x:v>2024-07-16T00:00:00.000Z</x:v>
      </x:c>
      <x:c r="E40" s="2" t="str">
        <x:v>VFV_ORD</x:v>
      </x:c>
      <x:c r="F40" s="2" t="str">
        <x:v>BUY</x:v>
      </x:c>
      <x:c r="G40" s="17" t="n">
        <x:v>2</x:v>
      </x:c>
      <x:c r="H40" s="18" t="n">
        <x:v>-274.54</x:v>
      </x:c>
      <x:c r="I40" s="18" t="str">
        <x:v>CAD</x:v>
      </x:c>
      <x:c r="J40" s="18" t="n">
        <x:v>1184.4</x:v>
      </x:c>
      <x:c r="K40" s="2" t="str">
        <x:v>TFSA-monthly-statement-transactions-DEMO_CAD-2024-07-01.csv</x:v>
      </x:c>
      <x:c r="L40" s="2" t="n">
        <x:v>36</x:v>
      </x:c>
      <x:c r="M40" s="2" t="str">
        <x:v>VFV - Vanguard S&amp;P 500 Index ETF: Bought 2.0000 shares (executed at 2024-07-16)</x:v>
      </x:c>
      <x:c r="N40" s="2" t="str">
        <x:v>Imported</x:v>
      </x:c>
      <x:c r="O40" s="17" t="n">
        <x:f>IF(F40="BUY",G40,IF(F40="SELL",-G40,IF(AND(F40="STKREORG",N40="Applied 4-for-1 CDR split"),G40,0)))</x:f>
        <x:v>2</x:v>
      </x:c>
      <x:c r="P40" s="17" t="n">
        <x:f>SUMIF($E$6:E39,E40,$O$6:O39)</x:f>
        <x:v>6.351</x:v>
      </x:c>
      <x:c r="Q40" s="18" t="n">
        <x:f>SUMIF($E$6:E39,E40,$S$6:S39)</x:f>
        <x:v>855.97</x:v>
      </x:c>
      <x:c r="R40" s="18" t="n">
        <x:f>IF(P40&gt;0,Q40/P40,0)</x:f>
        <x:v>134.77720044087545</x:v>
      </x:c>
      <x:c r="S40" s="18" t="n">
        <x:f>IF(F40="BUY",-H40,IF(F40="SELL",-G40*R40,0))</x:f>
        <x:v>274.54</x:v>
      </x:c>
      <x:c r="T40" s="18" t="n">
        <x:f>IF(F40="SELL",IF(G40&gt;P40+0.000001,"REVIEW",H40-G40*R40),0)</x:f>
        <x:v>0</x:v>
      </x:c>
      <x:c r="U40" s="17" t="n">
        <x:f>P40+O40</x:f>
        <x:v>8.350999999999999</x:v>
      </x:c>
      <x:c r="V40" s="18" t="n">
        <x:f>Q40+S40</x:f>
        <x:v>1130.51</x:v>
      </x:c>
      <x:c r="W40" s="18" t="n">
        <x:f>IF(F40="DIV",H40,0)</x:f>
        <x:v>0</x:v>
      </x:c>
      <x:c r="X40" s="18" t="n">
        <x:f>IF(F40="CONT",H40,0)</x:f>
        <x:v>0</x:v>
      </x:c>
      <x:c r="Y40" s="2" t="str">
        <x:f>TEXT(C40,"yyyy-mm")</x:f>
        <x:v>2024-07</x:v>
      </x:c>
      <x:c r="Z40" s="2" t="str">
        <x:f>IF(OR(AND(F40="STKREORG",N40&lt;&gt;"Applied 4-for-1 CDR split"),AND(F40="SELL",G40&gt;P40+0.000001)),"REVIEW","OK")</x:f>
        <x:v>OK</x:v>
      </x:c>
    </x:row>
    <x:row r="41" ht="21" customHeight="1">
      <x:c r="A41" s="2"/>
      <x:c r="B41" s="2" t="str">
        <x:v>47e2714865968acbd455</x:v>
      </x:c>
      <x:c r="C41" s="16" t="d">
        <x:v>2024-07-17T00:00:00.000Z</x:v>
      </x:c>
      <x:c r="D41" s="16" t="d">
        <x:v>2024-07-16T00:00:00.000Z</x:v>
      </x:c>
      <x:c r="E41" s="2" t="str">
        <x:v>XEQT_ORD</x:v>
      </x:c>
      <x:c r="F41" s="2" t="str">
        <x:v>BUY</x:v>
      </x:c>
      <x:c r="G41" s="17" t="n">
        <x:v>31.4467</x:v>
      </x:c>
      <x:c r="H41" s="18" t="n">
        <x:v>-1000</x:v>
      </x:c>
      <x:c r="I41" s="18" t="str">
        <x:v>CAD</x:v>
      </x:c>
      <x:c r="J41" s="18" t="n">
        <x:v>184.4</x:v>
      </x:c>
      <x:c r="K41" s="2" t="str">
        <x:v>TFSA-monthly-statement-transactions-DEMO_CAD-2024-07-01.csv</x:v>
      </x:c>
      <x:c r="L41" s="2" t="n">
        <x:v>37</x:v>
      </x:c>
      <x:c r="M41" s="2" t="str">
        <x:v>XEQT - iShares Core Equity ETF Portfolio: Bought 31.4467 shares (executed at 2024-07-16)</x:v>
      </x:c>
      <x:c r="N41" s="2" t="str">
        <x:v>Imported</x:v>
      </x:c>
      <x:c r="O41" s="17" t="n">
        <x:f>IF(F41="BUY",G41,IF(F41="SELL",-G41,IF(AND(F41="STKREORG",N41="Applied 4-for-1 CDR split"),G41,0)))</x:f>
        <x:v>31.4467</x:v>
      </x:c>
      <x:c r="P41" s="17" t="n">
        <x:f>SUMIF($E$6:E40,E41,$O$6:O40)</x:f>
        <x:v>44.056700000000006</x:v>
      </x:c>
      <x:c r="Q41" s="18" t="n">
        <x:f>SUMIF($E$6:E40,E41,$S$6:S40)</x:f>
        <x:v>1366.6</x:v>
      </x:c>
      <x:c r="R41" s="18" t="n">
        <x:f>IF(P41&gt;0,Q41/P41,0)</x:f>
        <x:v>31.019118544965913</x:v>
      </x:c>
      <x:c r="S41" s="18" t="n">
        <x:f>IF(F41="BUY",-H41,IF(F41="SELL",-G41*R41,0))</x:f>
        <x:v>1000</x:v>
      </x:c>
      <x:c r="T41" s="18" t="n">
        <x:f>IF(F41="SELL",IF(G41&gt;P41+0.000001,"REVIEW",H41-G41*R41),0)</x:f>
        <x:v>0</x:v>
      </x:c>
      <x:c r="U41" s="17" t="n">
        <x:f>P41+O41</x:f>
        <x:v>75.5034</x:v>
      </x:c>
      <x:c r="V41" s="18" t="n">
        <x:f>Q41+S41</x:f>
        <x:v>2366.6</x:v>
      </x:c>
      <x:c r="W41" s="18" t="n">
        <x:f>IF(F41="DIV",H41,0)</x:f>
        <x:v>0</x:v>
      </x:c>
      <x:c r="X41" s="18" t="n">
        <x:f>IF(F41="CONT",H41,0)</x:f>
        <x:v>0</x:v>
      </x:c>
      <x:c r="Y41" s="2" t="str">
        <x:f>TEXT(C41,"yyyy-mm")</x:f>
        <x:v>2024-07</x:v>
      </x:c>
      <x:c r="Z41" s="2" t="str">
        <x:f>IF(OR(AND(F41="STKREORG",N41&lt;&gt;"Applied 4-for-1 CDR split"),AND(F41="SELL",G41&gt;P41+0.000001)),"REVIEW","OK")</x:f>
        <x:v>OK</x:v>
      </x:c>
    </x:row>
    <x:row r="42" ht="21" customHeight="1">
      <x:c r="A42" s="2"/>
      <x:c r="B42" s="2" t="str">
        <x:v>e89ac414f55f54282cfe</x:v>
      </x:c>
      <x:c r="C42" s="16" t="d">
        <x:v>2024-07-18T00:00:00.000Z</x:v>
      </x:c>
      <x:c r="D42" s="16" t="d">
        <x:v>2024-07-17T00:00:00.000Z</x:v>
      </x:c>
      <x:c r="E42" s="2" t="str">
        <x:v>VFV_ORD</x:v>
      </x:c>
      <x:c r="F42" s="2" t="str">
        <x:v>BUY</x:v>
      </x:c>
      <x:c r="G42" s="17" t="n">
        <x:v>1.3557</x:v>
      </x:c>
      <x:c r="H42" s="18" t="n">
        <x:v>-184.39</x:v>
      </x:c>
      <x:c r="I42" s="18" t="str">
        <x:v>CAD</x:v>
      </x:c>
      <x:c r="J42" s="18" t="n">
        <x:v>0.01</x:v>
      </x:c>
      <x:c r="K42" s="2" t="str">
        <x:v>TFSA-monthly-statement-transactions-DEMO_CAD-2024-07-01.csv</x:v>
      </x:c>
      <x:c r="L42" s="2" t="n">
        <x:v>38</x:v>
      </x:c>
      <x:c r="M42" s="2" t="str">
        <x:v>VFV - Vanguard S&amp;P 500 Index ETF: Bought 1.3557 shares (executed at 2024-07-17)</x:v>
      </x:c>
      <x:c r="N42" s="2" t="str">
        <x:v>Imported</x:v>
      </x:c>
      <x:c r="O42" s="17" t="n">
        <x:f>IF(F42="BUY",G42,IF(F42="SELL",-G42,IF(AND(F42="STKREORG",N42="Applied 4-for-1 CDR split"),G42,0)))</x:f>
        <x:v>1.3557</x:v>
      </x:c>
      <x:c r="P42" s="17" t="n">
        <x:f>SUMIF($E$6:E41,E42,$O$6:O41)</x:f>
        <x:v>8.350999999999999</x:v>
      </x:c>
      <x:c r="Q42" s="18" t="n">
        <x:f>SUMIF($E$6:E41,E42,$S$6:S41)</x:f>
        <x:v>1130.51</x:v>
      </x:c>
      <x:c r="R42" s="18" t="n">
        <x:f>IF(P42&gt;0,Q42/P42,0)</x:f>
        <x:v>135.37420668183452</x:v>
      </x:c>
      <x:c r="S42" s="18" t="n">
        <x:f>IF(F42="BUY",-H42,IF(F42="SELL",-G42*R42,0))</x:f>
        <x:v>184.39</x:v>
      </x:c>
      <x:c r="T42" s="18" t="n">
        <x:f>IF(F42="SELL",IF(G42&gt;P42+0.000001,"REVIEW",H42-G42*R42),0)</x:f>
        <x:v>0</x:v>
      </x:c>
      <x:c r="U42" s="17" t="n">
        <x:f>P42+O42</x:f>
        <x:v>9.7067</x:v>
      </x:c>
      <x:c r="V42" s="18" t="n">
        <x:f>Q42+S42</x:f>
        <x:v>1314.9</x:v>
      </x:c>
      <x:c r="W42" s="18" t="n">
        <x:f>IF(F42="DIV",H42,0)</x:f>
        <x:v>0</x:v>
      </x:c>
      <x:c r="X42" s="18" t="n">
        <x:f>IF(F42="CONT",H42,0)</x:f>
        <x:v>0</x:v>
      </x:c>
      <x:c r="Y42" s="2" t="str">
        <x:f>TEXT(C42,"yyyy-mm")</x:f>
        <x:v>2024-07</x:v>
      </x:c>
      <x:c r="Z42" s="2" t="str">
        <x:f>IF(OR(AND(F42="STKREORG",N42&lt;&gt;"Applied 4-for-1 CDR split"),AND(F42="SELL",G42&gt;P42+0.000001)),"REVIEW","OK")</x:f>
        <x:v>OK</x:v>
      </x:c>
    </x:row>
    <x:row r="43" ht="21" customHeight="1">
      <x:c r="A43" s="2"/>
      <x:c r="B43" s="2" t="str">
        <x:v>3b41ebf2dcf9a07ebaad</x:v>
      </x:c>
      <x:c r="C43" s="16" t="d">
        <x:v>2024-07-22T00:00:00.000Z</x:v>
      </x:c>
      <x:c r="D43" s="16" t="d">
        <x:v>2024-07-22T00:00:00.000Z</x:v>
      </x:c>
      <x:c r="E43" s="2" t="str"/>
      <x:c r="F43" s="2" t="str">
        <x:v>CONT</x:v>
      </x:c>
      <x:c r="G43" s="17" t="n">
        <x:v>0</x:v>
      </x:c>
      <x:c r="H43" s="18" t="n">
        <x:v>1000</x:v>
      </x:c>
      <x:c r="I43" s="18" t="str">
        <x:v>CAD</x:v>
      </x:c>
      <x:c r="J43" s="18" t="n">
        <x:v>1000.01</x:v>
      </x:c>
      <x:c r="K43" s="2" t="str">
        <x:v>TFSA-monthly-statement-transactions-DEMO_CAD-2024-07-01.csv</x:v>
      </x:c>
      <x:c r="L43" s="2" t="n">
        <x:v>39</x:v>
      </x:c>
      <x:c r="M43" s="2" t="str">
        <x:v>Contribution (executed at 2024-07-22)</x:v>
      </x:c>
      <x:c r="N43" s="2" t="str">
        <x:v>Imported</x:v>
      </x:c>
      <x:c r="O43" s="17" t="n">
        <x:f>IF(F43="BUY",G43,IF(F43="SELL",-G43,IF(AND(F43="STKREORG",N43="Applied 4-for-1 CDR split"),G43,0)))</x:f>
        <x:v>0</x:v>
      </x:c>
      <x:c r="P43" s="17" t="n">
        <x:f>SUMIF($E$6:E42,E43,$O$6:O42)</x:f>
        <x:v>0</x:v>
      </x:c>
      <x:c r="Q43" s="18" t="n">
        <x:f>SUMIF($E$6:E42,E43,$S$6:S42)</x:f>
        <x:v>0</x:v>
      </x:c>
      <x:c r="R43" s="18" t="n">
        <x:f>IF(P43&gt;0,Q43/P43,0)</x:f>
        <x:v>0</x:v>
      </x:c>
      <x:c r="S43" s="18" t="n">
        <x:f>IF(F43="BUY",-H43,IF(F43="SELL",-G43*R43,0))</x:f>
        <x:v>0</x:v>
      </x:c>
      <x:c r="T43" s="18" t="n">
        <x:f>IF(F43="SELL",IF(G43&gt;P43+0.000001,"REVIEW",H43-G43*R43),0)</x:f>
        <x:v>0</x:v>
      </x:c>
      <x:c r="U43" s="17" t="n">
        <x:f>P43+O43</x:f>
        <x:v>0</x:v>
      </x:c>
      <x:c r="V43" s="18" t="n">
        <x:f>Q43+S43</x:f>
        <x:v>0</x:v>
      </x:c>
      <x:c r="W43" s="18" t="n">
        <x:f>IF(F43="DIV",H43,0)</x:f>
        <x:v>0</x:v>
      </x:c>
      <x:c r="X43" s="18" t="n">
        <x:f>IF(F43="CONT",H43,0)</x:f>
        <x:v>1000</x:v>
      </x:c>
      <x:c r="Y43" s="2" t="str">
        <x:f>TEXT(C43,"yyyy-mm")</x:f>
        <x:v>2024-07</x:v>
      </x:c>
      <x:c r="Z43" s="2" t="str">
        <x:f>IF(OR(AND(F43="STKREORG",N43&lt;&gt;"Applied 4-for-1 CDR split"),AND(F43="SELL",G43&gt;P43+0.000001)),"REVIEW","OK")</x:f>
        <x:v>OK</x:v>
      </x:c>
    </x:row>
    <x:row r="44" ht="21" customHeight="1">
      <x:c r="A44" s="2"/>
      <x:c r="B44" s="2" t="str">
        <x:v>86fbf3dc8ec75812379a</x:v>
      </x:c>
      <x:c r="C44" s="16" t="d">
        <x:v>2024-07-31T00:00:00.000Z</x:v>
      </x:c>
      <x:c r="D44" s="16" t="d">
        <x:v>2024-07-31T00:00:00.000Z</x:v>
      </x:c>
      <x:c r="E44" s="2" t="str">
        <x:v>XEI_ORD</x:v>
      </x:c>
      <x:c r="F44" s="2" t="str">
        <x:v>DIV</x:v>
      </x:c>
      <x:c r="G44" s="17" t="n">
        <x:v>0</x:v>
      </x:c>
      <x:c r="H44" s="18" t="n">
        <x:v>0.23</x:v>
      </x:c>
      <x:c r="I44" s="18" t="str">
        <x:v>CAD</x:v>
      </x:c>
      <x:c r="J44" s="18" t="n">
        <x:v>1000.24</x:v>
      </x:c>
      <x:c r="K44" s="2" t="str">
        <x:v>TFSA-monthly-statement-transactions-DEMO_CAD-2024-07-01.csv</x:v>
      </x:c>
      <x:c r="L44" s="2" t="n">
        <x:v>40</x:v>
      </x:c>
      <x:c r="M44" s="2" t="str">
        <x:v>XEI - iShares S&amp;P/TSX Composite High Dividend Income Index ETF: Stock dividend distribution, received at 2024-07-31</x:v>
      </x:c>
      <x:c r="N44" s="2" t="str">
        <x:v>Imported</x:v>
      </x:c>
      <x:c r="O44" s="17" t="n">
        <x:f>IF(F44="BUY",G44,IF(F44="SELL",-G44,IF(AND(F44="STKREORG",N44="Applied 4-for-1 CDR split"),G44,0)))</x:f>
        <x:v>0</x:v>
      </x:c>
      <x:c r="P44" s="17" t="n">
        <x:f>SUMIF($E$6:E43,E44,$O$6:O43)</x:f>
        <x:v>2</x:v>
      </x:c>
      <x:c r="Q44" s="18" t="n">
        <x:f>SUMIF($E$6:E43,E44,$S$6:S43)</x:f>
        <x:v>50.16</x:v>
      </x:c>
      <x:c r="R44" s="18" t="n">
        <x:f>IF(P44&gt;0,Q44/P44,0)</x:f>
        <x:v>25.08</x:v>
      </x:c>
      <x:c r="S44" s="18" t="n">
        <x:f>IF(F44="BUY",-H44,IF(F44="SELL",-G44*R44,0))</x:f>
        <x:v>0</x:v>
      </x:c>
      <x:c r="T44" s="18" t="n">
        <x:f>IF(F44="SELL",IF(G44&gt;P44+0.000001,"REVIEW",H44-G44*R44),0)</x:f>
        <x:v>0</x:v>
      </x:c>
      <x:c r="U44" s="17" t="n">
        <x:f>P44+O44</x:f>
        <x:v>2</x:v>
      </x:c>
      <x:c r="V44" s="18" t="n">
        <x:f>Q44+S44</x:f>
        <x:v>50.16</x:v>
      </x:c>
      <x:c r="W44" s="18" t="n">
        <x:f>IF(F44="DIV",H44,0)</x:f>
        <x:v>0.23</x:v>
      </x:c>
      <x:c r="X44" s="18" t="n">
        <x:f>IF(F44="CONT",H44,0)</x:f>
        <x:v>0</x:v>
      </x:c>
      <x:c r="Y44" s="2" t="str">
        <x:f>TEXT(C44,"yyyy-mm")</x:f>
        <x:v>2024-07</x:v>
      </x:c>
      <x:c r="Z44" s="2" t="str">
        <x:f>IF(OR(AND(F44="STKREORG",N44&lt;&gt;"Applied 4-for-1 CDR split"),AND(F44="SELL",G44&gt;P44+0.000001)),"REVIEW","OK")</x:f>
        <x:v>OK</x:v>
      </x:c>
    </x:row>
    <x:row r="45" ht="21" customHeight="1">
      <x:c r="A45" s="2"/>
      <x:c r="B45" s="2" t="str">
        <x:v>761bf82021f143b610b7</x:v>
      </x:c>
      <x:c r="C45" s="16" t="d">
        <x:v>2024-08-02T00:00:00.000Z</x:v>
      </x:c>
      <x:c r="D45" s="16" t="d">
        <x:v>2024-08-01T00:00:00.000Z</x:v>
      </x:c>
      <x:c r="E45" s="2" t="str">
        <x:v>VFV_ORD</x:v>
      </x:c>
      <x:c r="F45" s="2" t="str">
        <x:v>BUY</x:v>
      </x:c>
      <x:c r="G45" s="17" t="n">
        <x:v>4</x:v>
      </x:c>
      <x:c r="H45" s="18" t="n">
        <x:v>-543</x:v>
      </x:c>
      <x:c r="I45" s="18" t="str">
        <x:v>CAD</x:v>
      </x:c>
      <x:c r="J45" s="18" t="n">
        <x:v>457.24</x:v>
      </x:c>
      <x:c r="K45" s="2" t="str">
        <x:v>TFSA-monthly-statement-transactions-DEMO_CAD-2024-08-01.csv</x:v>
      </x:c>
      <x:c r="L45" s="2" t="n">
        <x:v>2</x:v>
      </x:c>
      <x:c r="M45" s="2" t="str">
        <x:v>VFV - Vanguard S&amp;P 500 Index ETF: Bought 4.0000 shares (executed at 2024-08-01)</x:v>
      </x:c>
      <x:c r="N45" s="2" t="str">
        <x:v>Imported</x:v>
      </x:c>
      <x:c r="O45" s="17" t="n">
        <x:f>IF(F45="BUY",G45,IF(F45="SELL",-G45,IF(AND(F45="STKREORG",N45="Applied 4-for-1 CDR split"),G45,0)))</x:f>
        <x:v>4</x:v>
      </x:c>
      <x:c r="P45" s="17" t="n">
        <x:f>SUMIF($E$6:E44,E45,$O$6:O44)</x:f>
        <x:v>9.7067</x:v>
      </x:c>
      <x:c r="Q45" s="18" t="n">
        <x:f>SUMIF($E$6:E44,E45,$S$6:S44)</x:f>
        <x:v>1314.9</x:v>
      </x:c>
      <x:c r="R45" s="18" t="n">
        <x:f>IF(P45&gt;0,Q45/P45,0)</x:f>
        <x:v>135.46313371176612</x:v>
      </x:c>
      <x:c r="S45" s="18" t="n">
        <x:f>IF(F45="BUY",-H45,IF(F45="SELL",-G45*R45,0))</x:f>
        <x:v>543</x:v>
      </x:c>
      <x:c r="T45" s="18" t="n">
        <x:f>IF(F45="SELL",IF(G45&gt;P45+0.000001,"REVIEW",H45-G45*R45),0)</x:f>
        <x:v>0</x:v>
      </x:c>
      <x:c r="U45" s="17" t="n">
        <x:f>P45+O45</x:f>
        <x:v>13.7067</x:v>
      </x:c>
      <x:c r="V45" s="18" t="n">
        <x:f>Q45+S45</x:f>
        <x:v>1857.9</x:v>
      </x:c>
      <x:c r="W45" s="18" t="n">
        <x:f>IF(F45="DIV",H45,0)</x:f>
        <x:v>0</x:v>
      </x:c>
      <x:c r="X45" s="18" t="n">
        <x:f>IF(F45="CONT",H45,0)</x:f>
        <x:v>0</x:v>
      </x:c>
      <x:c r="Y45" s="2" t="str">
        <x:f>TEXT(C45,"yyyy-mm")</x:f>
        <x:v>2024-08</x:v>
      </x:c>
      <x:c r="Z45" s="2" t="str">
        <x:f>IF(OR(AND(F45="STKREORG",N45&lt;&gt;"Applied 4-for-1 CDR split"),AND(F45="SELL",G45&gt;P45+0.000001)),"REVIEW","OK")</x:f>
        <x:v>OK</x:v>
      </x:c>
    </x:row>
    <x:row r="46" ht="21" customHeight="1">
      <x:c r="A46" s="2"/>
      <x:c r="B46" s="2" t="str">
        <x:v>b783d5f9539422130ea6</x:v>
      </x:c>
      <x:c r="C46" s="16" t="d">
        <x:v>2024-08-06T00:00:00.000Z</x:v>
      </x:c>
      <x:c r="D46" s="16" t="d">
        <x:v>2024-08-02T00:00:00.000Z</x:v>
      </x:c>
      <x:c r="E46" s="2" t="str">
        <x:v>CASH_ORD</x:v>
      </x:c>
      <x:c r="F46" s="2" t="str">
        <x:v>BUY</x:v>
      </x:c>
      <x:c r="G46" s="17" t="n">
        <x:v>9.1393</x:v>
      </x:c>
      <x:c r="H46" s="18" t="n">
        <x:v>-457.24</x:v>
      </x:c>
      <x:c r="I46" s="18" t="str">
        <x:v>CAD</x:v>
      </x:c>
      <x:c r="J46" s="18" t="n">
        <x:v>0</x:v>
      </x:c>
      <x:c r="K46" s="2" t="str">
        <x:v>TFSA-monthly-statement-transactions-DEMO_CAD-2024-08-01.csv</x:v>
      </x:c>
      <x:c r="L46" s="2" t="n">
        <x:v>3</x:v>
      </x:c>
      <x:c r="M46" s="2" t="str">
        <x:v>CASH - Global X High Interest Savings ETF: Bought 9.1393 shares (executed at 2024-08-02)</x:v>
      </x:c>
      <x:c r="N46" s="2" t="str">
        <x:v>Imported</x:v>
      </x:c>
      <x:c r="O46" s="17" t="n">
        <x:f>IF(F46="BUY",G46,IF(F46="SELL",-G46,IF(AND(F46="STKREORG",N46="Applied 4-for-1 CDR split"),G46,0)))</x:f>
        <x:v>9.1393</x:v>
      </x:c>
      <x:c r="P46" s="17" t="n">
        <x:f>SUMIF($E$6:E45,E46,$O$6:O45)</x:f>
        <x:v>8</x:v>
      </x:c>
      <x:c r="Q46" s="18" t="n">
        <x:f>SUMIF($E$6:E45,E46,$S$6:S45)</x:f>
        <x:v>400.73</x:v>
      </x:c>
      <x:c r="R46" s="18" t="n">
        <x:f>IF(P46&gt;0,Q46/P46,0)</x:f>
        <x:v>50.09125</x:v>
      </x:c>
      <x:c r="S46" s="18" t="n">
        <x:f>IF(F46="BUY",-H46,IF(F46="SELL",-G46*R46,0))</x:f>
        <x:v>457.24</x:v>
      </x:c>
      <x:c r="T46" s="18" t="n">
        <x:f>IF(F46="SELL",IF(G46&gt;P46+0.000001,"REVIEW",H46-G46*R46),0)</x:f>
        <x:v>0</x:v>
      </x:c>
      <x:c r="U46" s="17" t="n">
        <x:f>P46+O46</x:f>
        <x:v>17.1393</x:v>
      </x:c>
      <x:c r="V46" s="18" t="n">
        <x:f>Q46+S46</x:f>
        <x:v>857.97</x:v>
      </x:c>
      <x:c r="W46" s="18" t="n">
        <x:f>IF(F46="DIV",H46,0)</x:f>
        <x:v>0</x:v>
      </x:c>
      <x:c r="X46" s="18" t="n">
        <x:f>IF(F46="CONT",H46,0)</x:f>
        <x:v>0</x:v>
      </x:c>
      <x:c r="Y46" s="2" t="str">
        <x:f>TEXT(C46,"yyyy-mm")</x:f>
        <x:v>2024-08</x:v>
      </x:c>
      <x:c r="Z46" s="2" t="str">
        <x:f>IF(OR(AND(F46="STKREORG",N46&lt;&gt;"Applied 4-for-1 CDR split"),AND(F46="SELL",G46&gt;P46+0.000001)),"REVIEW","OK")</x:f>
        <x:v>OK</x:v>
      </x:c>
    </x:row>
    <x:row r="47" ht="21" customHeight="1">
      <x:c r="A47" s="2"/>
      <x:c r="B47" s="2" t="str">
        <x:v>c0a62a0be07d452fa0a0</x:v>
      </x:c>
      <x:c r="C47" s="16" t="d">
        <x:v>2024-08-08T00:00:00.000Z</x:v>
      </x:c>
      <x:c r="D47" s="16" t="d">
        <x:v>2024-08-08T00:00:00.000Z</x:v>
      </x:c>
      <x:c r="E47" s="2" t="str">
        <x:v>CASH_ORD</x:v>
      </x:c>
      <x:c r="F47" s="2" t="str">
        <x:v>DIV</x:v>
      </x:c>
      <x:c r="G47" s="17" t="n">
        <x:v>0</x:v>
      </x:c>
      <x:c r="H47" s="18" t="n">
        <x:v>1.56</x:v>
      </x:c>
      <x:c r="I47" s="18" t="str">
        <x:v>CAD</x:v>
      </x:c>
      <x:c r="J47" s="18" t="n">
        <x:v>1.56</x:v>
      </x:c>
      <x:c r="K47" s="2" t="str">
        <x:v>TFSA-monthly-statement-transactions-DEMO_CAD-2024-08-01.csv</x:v>
      </x:c>
      <x:c r="L47" s="2" t="n">
        <x:v>4</x:v>
      </x:c>
      <x:c r="M47" s="2" t="str">
        <x:v>CASH - Global X High Interest Savings ETF: Cash dividend distribution, received at 2024-08-08</x:v>
      </x:c>
      <x:c r="N47" s="2" t="str">
        <x:v>Imported</x:v>
      </x:c>
      <x:c r="O47" s="17" t="n">
        <x:f>IF(F47="BUY",G47,IF(F47="SELL",-G47,IF(AND(F47="STKREORG",N47="Applied 4-for-1 CDR split"),G47,0)))</x:f>
        <x:v>0</x:v>
      </x:c>
      <x:c r="P47" s="17" t="n">
        <x:f>SUMIF($E$6:E46,E47,$O$6:O46)</x:f>
        <x:v>17.1393</x:v>
      </x:c>
      <x:c r="Q47" s="18" t="n">
        <x:f>SUMIF($E$6:E46,E47,$S$6:S46)</x:f>
        <x:v>857.97</x:v>
      </x:c>
      <x:c r="R47" s="18" t="n">
        <x:f>IF(P47&gt;0,Q47/P47,0)</x:f>
        <x:v>50.058637167212204</x:v>
      </x:c>
      <x:c r="S47" s="18" t="n">
        <x:f>IF(F47="BUY",-H47,IF(F47="SELL",-G47*R47,0))</x:f>
        <x:v>0</x:v>
      </x:c>
      <x:c r="T47" s="18" t="n">
        <x:f>IF(F47="SELL",IF(G47&gt;P47+0.000001,"REVIEW",H47-G47*R47),0)</x:f>
        <x:v>0</x:v>
      </x:c>
      <x:c r="U47" s="17" t="n">
        <x:f>P47+O47</x:f>
        <x:v>17.1393</x:v>
      </x:c>
      <x:c r="V47" s="18" t="n">
        <x:f>Q47+S47</x:f>
        <x:v>857.97</x:v>
      </x:c>
      <x:c r="W47" s="18" t="n">
        <x:f>IF(F47="DIV",H47,0)</x:f>
        <x:v>1.56</x:v>
      </x:c>
      <x:c r="X47" s="18" t="n">
        <x:f>IF(F47="CONT",H47,0)</x:f>
        <x:v>0</x:v>
      </x:c>
      <x:c r="Y47" s="2" t="str">
        <x:f>TEXT(C47,"yyyy-mm")</x:f>
        <x:v>2024-08</x:v>
      </x:c>
      <x:c r="Z47" s="2" t="str">
        <x:f>IF(OR(AND(F47="STKREORG",N47&lt;&gt;"Applied 4-for-1 CDR split"),AND(F47="SELL",G47&gt;P47+0.000001)),"REVIEW","OK")</x:f>
        <x:v>OK</x:v>
      </x:c>
    </x:row>
    <x:row r="48" ht="21" customHeight="1">
      <x:c r="A48" s="2"/>
      <x:c r="B48" s="2" t="str">
        <x:v>01bd6be1095a1676003f</x:v>
      </x:c>
      <x:c r="C48" s="16" t="d">
        <x:v>2024-08-08T00:00:00.000Z</x:v>
      </x:c>
      <x:c r="D48" s="16" t="d">
        <x:v>2024-08-08T00:00:00.000Z</x:v>
      </x:c>
      <x:c r="E48" s="2" t="str">
        <x:v>VDY_ORD</x:v>
      </x:c>
      <x:c r="F48" s="2" t="str">
        <x:v>DIV</x:v>
      </x:c>
      <x:c r="G48" s="17" t="n">
        <x:v>0</x:v>
      </x:c>
      <x:c r="H48" s="18" t="n">
        <x:v>0.74</x:v>
      </x:c>
      <x:c r="I48" s="18" t="str">
        <x:v>CAD</x:v>
      </x:c>
      <x:c r="J48" s="18" t="n">
        <x:v>2.3</x:v>
      </x:c>
      <x:c r="K48" s="2" t="str">
        <x:v>TFSA-monthly-statement-transactions-DEMO_CAD-2024-08-01.csv</x:v>
      </x:c>
      <x:c r="L48" s="2" t="n">
        <x:v>5</x:v>
      </x:c>
      <x:c r="M48" s="2" t="str">
        <x:v>VDY - Vanguard FTSE Canadian High Dividend Yield Index ETF: Cash dividend distribution, received at 2024-08-08</x:v>
      </x:c>
      <x:c r="N48" s="2" t="str">
        <x:v>Imported</x:v>
      </x:c>
      <x:c r="O48" s="17" t="n">
        <x:f>IF(F48="BUY",G48,IF(F48="SELL",-G48,IF(AND(F48="STKREORG",N48="Applied 4-for-1 CDR split"),G48,0)))</x:f>
        <x:v>0</x:v>
      </x:c>
      <x:c r="P48" s="17" t="n">
        <x:f>SUMIF($E$6:E47,E48,$O$6:O47)</x:f>
        <x:v>4.4924</x:v>
      </x:c>
      <x:c r="Q48" s="18" t="n">
        <x:f>SUMIF($E$6:E47,E48,$S$6:S47)</x:f>
        <x:v>200.85000000000002</x:v>
      </x:c>
      <x:c r="R48" s="18" t="n">
        <x:f>IF(P48&gt;0,Q48/P48,0)</x:f>
        <x:v>44.70884159914523</x:v>
      </x:c>
      <x:c r="S48" s="18" t="n">
        <x:f>IF(F48="BUY",-H48,IF(F48="SELL",-G48*R48,0))</x:f>
        <x:v>0</x:v>
      </x:c>
      <x:c r="T48" s="18" t="n">
        <x:f>IF(F48="SELL",IF(G48&gt;P48+0.000001,"REVIEW",H48-G48*R48),0)</x:f>
        <x:v>0</x:v>
      </x:c>
      <x:c r="U48" s="17" t="n">
        <x:f>P48+O48</x:f>
        <x:v>4.4924</x:v>
      </x:c>
      <x:c r="V48" s="18" t="n">
        <x:f>Q48+S48</x:f>
        <x:v>200.85000000000002</x:v>
      </x:c>
      <x:c r="W48" s="18" t="n">
        <x:f>IF(F48="DIV",H48,0)</x:f>
        <x:v>0.74</x:v>
      </x:c>
      <x:c r="X48" s="18" t="n">
        <x:f>IF(F48="CONT",H48,0)</x:f>
        <x:v>0</x:v>
      </x:c>
      <x:c r="Y48" s="2" t="str">
        <x:f>TEXT(C48,"yyyy-mm")</x:f>
        <x:v>2024-08</x:v>
      </x:c>
      <x:c r="Z48" s="2" t="str">
        <x:f>IF(OR(AND(F48="STKREORG",N48&lt;&gt;"Applied 4-for-1 CDR split"),AND(F48="SELL",G48&gt;P48+0.000001)),"REVIEW","OK")</x:f>
        <x:v>OK</x:v>
      </x:c>
    </x:row>
    <x:row r="49" ht="21" customHeight="1">
      <x:c r="A49" s="2"/>
      <x:c r="B49" s="2" t="str">
        <x:v>afe9d9e08219c4073b24</x:v>
      </x:c>
      <x:c r="C49" s="16" t="d">
        <x:v>2024-08-22T00:00:00.000Z</x:v>
      </x:c>
      <x:c r="D49" s="16" t="d">
        <x:v>2024-08-22T00:00:00.000Z</x:v>
      </x:c>
      <x:c r="E49" s="2" t="str"/>
      <x:c r="F49" s="2" t="str">
        <x:v>NRT</x:v>
      </x:c>
      <x:c r="G49" s="17" t="n">
        <x:v>0</x:v>
      </x:c>
      <x:c r="H49" s="18" t="n">
        <x:v>-0.01</x:v>
      </x:c>
      <x:c r="I49" s="18" t="str">
        <x:v>CAD</x:v>
      </x:c>
      <x:c r="J49" s="18" t="n">
        <x:v>2.36</x:v>
      </x:c>
      <x:c r="K49" s="2" t="str">
        <x:v>TFSA-monthly-statement-transactions-DEMO_CAD-2024-08-01.csv</x:v>
      </x:c>
      <x:c r="L49" s="2" t="n">
        <x:v>6</x:v>
      </x:c>
      <x:c r="M49" s="2" t="str">
        <x:v>Non-resident tax (executed at 2024-08-22)</x:v>
      </x:c>
      <x:c r="N49" s="2" t="str">
        <x:v>Imported</x:v>
      </x:c>
      <x:c r="O49" s="17" t="n">
        <x:f>IF(F49="BUY",G49,IF(F49="SELL",-G49,IF(AND(F49="STKREORG",N49="Applied 4-for-1 CDR split"),G49,0)))</x:f>
        <x:v>0</x:v>
      </x:c>
      <x:c r="P49" s="17" t="n">
        <x:f>SUMIF($E$6:E48,E49,$O$6:O48)</x:f>
        <x:v>0</x:v>
      </x:c>
      <x:c r="Q49" s="18" t="n">
        <x:f>SUMIF($E$6:E48,E49,$S$6:S48)</x:f>
        <x:v>0</x:v>
      </x:c>
      <x:c r="R49" s="18" t="n">
        <x:f>IF(P49&gt;0,Q49/P49,0)</x:f>
        <x:v>0</x:v>
      </x:c>
      <x:c r="S49" s="18" t="n">
        <x:f>IF(F49="BUY",-H49,IF(F49="SELL",-G49*R49,0))</x:f>
        <x:v>0</x:v>
      </x:c>
      <x:c r="T49" s="18" t="n">
        <x:f>IF(F49="SELL",IF(G49&gt;P49+0.000001,"REVIEW",H49-G49*R49),0)</x:f>
        <x:v>0</x:v>
      </x:c>
      <x:c r="U49" s="17" t="n">
        <x:f>P49+O49</x:f>
        <x:v>0</x:v>
      </x:c>
      <x:c r="V49" s="18" t="n">
        <x:f>Q49+S49</x:f>
        <x:v>0</x:v>
      </x:c>
      <x:c r="W49" s="18" t="n">
        <x:f>IF(F49="DIV",H49,0)</x:f>
        <x:v>0</x:v>
      </x:c>
      <x:c r="X49" s="18" t="n">
        <x:f>IF(F49="CONT",H49,0)</x:f>
        <x:v>0</x:v>
      </x:c>
      <x:c r="Y49" s="2" t="str">
        <x:f>TEXT(C49,"yyyy-mm")</x:f>
        <x:v>2024-08</x:v>
      </x:c>
      <x:c r="Z49" s="2" t="str">
        <x:f>IF(OR(AND(F49="STKREORG",N49&lt;&gt;"Applied 4-for-1 CDR split"),AND(F49="SELL",G49&gt;P49+0.000001)),"REVIEW","OK")</x:f>
        <x:v>OK</x:v>
      </x:c>
    </x:row>
    <x:row r="50" ht="21" customHeight="1">
      <x:c r="A50" s="2"/>
      <x:c r="B50" s="2" t="str">
        <x:v>6ed314a2e89be987de34</x:v>
      </x:c>
      <x:c r="C50" s="16" t="d">
        <x:v>2024-08-22T00:00:00.000Z</x:v>
      </x:c>
      <x:c r="D50" s="16" t="d">
        <x:v>2024-08-22T00:00:00.000Z</x:v>
      </x:c>
      <x:c r="E50" s="2" t="str">
        <x:v>AAPL_CDR</x:v>
      </x:c>
      <x:c r="F50" s="2" t="str">
        <x:v>DIV</x:v>
      </x:c>
      <x:c r="G50" s="17" t="n">
        <x:v>0</x:v>
      </x:c>
      <x:c r="H50" s="18" t="n">
        <x:v>0.07</x:v>
      </x:c>
      <x:c r="I50" s="18" t="str">
        <x:v>CAD</x:v>
      </x:c>
      <x:c r="J50" s="18" t="n">
        <x:v>2.36</x:v>
      </x:c>
      <x:c r="K50" s="2" t="str">
        <x:v>TFSA-monthly-statement-transactions-DEMO_CAD-2024-08-01.csv</x:v>
      </x:c>
      <x:c r="L50" s="2" t="n">
        <x:v>7</x:v>
      </x:c>
      <x:c r="M50" s="2" t="str">
        <x:v>AAPL - Apple CDR (CAD Hedged) : Cash dividend distribution, received at 2024-08-22</x:v>
      </x:c>
      <x:c r="N50" s="2" t="str">
        <x:v>Imported</x:v>
      </x:c>
      <x:c r="O50" s="17" t="n">
        <x:f>IF(F50="BUY",G50,IF(F50="SELL",-G50,IF(AND(F50="STKREORG",N50="Applied 4-for-1 CDR split"),G50,0)))</x:f>
        <x:v>0</x:v>
      </x:c>
      <x:c r="P50" s="17" t="n">
        <x:f>SUMIF($E$6:E49,E50,$O$6:O49)</x:f>
        <x:v>2</x:v>
      </x:c>
      <x:c r="Q50" s="18" t="n">
        <x:f>SUMIF($E$6:E49,E50,$S$6:S49)</x:f>
        <x:v>67.38</x:v>
      </x:c>
      <x:c r="R50" s="18" t="n">
        <x:f>IF(P50&gt;0,Q50/P50,0)</x:f>
        <x:v>33.69</x:v>
      </x:c>
      <x:c r="S50" s="18" t="n">
        <x:f>IF(F50="BUY",-H50,IF(F50="SELL",-G50*R50,0))</x:f>
        <x:v>0</x:v>
      </x:c>
      <x:c r="T50" s="18" t="n">
        <x:f>IF(F50="SELL",IF(G50&gt;P50+0.000001,"REVIEW",H50-G50*R50),0)</x:f>
        <x:v>0</x:v>
      </x:c>
      <x:c r="U50" s="17" t="n">
        <x:f>P50+O50</x:f>
        <x:v>2</x:v>
      </x:c>
      <x:c r="V50" s="18" t="n">
        <x:f>Q50+S50</x:f>
        <x:v>67.38</x:v>
      </x:c>
      <x:c r="W50" s="18" t="n">
        <x:f>IF(F50="DIV",H50,0)</x:f>
        <x:v>0.07</x:v>
      </x:c>
      <x:c r="X50" s="18" t="n">
        <x:f>IF(F50="CONT",H50,0)</x:f>
        <x:v>0</x:v>
      </x:c>
      <x:c r="Y50" s="2" t="str">
        <x:f>TEXT(C50,"yyyy-mm")</x:f>
        <x:v>2024-08</x:v>
      </x:c>
      <x:c r="Z50" s="2" t="str">
        <x:f>IF(OR(AND(F50="STKREORG",N50&lt;&gt;"Applied 4-for-1 CDR split"),AND(F50="SELL",G50&gt;P50+0.000001)),"REVIEW","OK")</x:f>
        <x:v>OK</x:v>
      </x:c>
    </x:row>
    <x:row r="51" ht="21" customHeight="1">
      <x:c r="A51" s="2"/>
      <x:c r="B51" s="2" t="str">
        <x:v>88c08cf294e1a9d1edfa</x:v>
      </x:c>
      <x:c r="C51" s="16" t="d">
        <x:v>2024-08-23T00:00:00.000Z</x:v>
      </x:c>
      <x:c r="D51" s="16" t="d">
        <x:v>2024-08-22T00:00:00.000Z</x:v>
      </x:c>
      <x:c r="E51" s="2" t="str">
        <x:v>CJP_ORD</x:v>
      </x:c>
      <x:c r="F51" s="2" t="str">
        <x:v>SELL</x:v>
      </x:c>
      <x:c r="G51" s="17" t="n">
        <x:v>1</x:v>
      </x:c>
      <x:c r="H51" s="18" t="n">
        <x:v>26.87</x:v>
      </x:c>
      <x:c r="I51" s="18" t="str">
        <x:v>CAD</x:v>
      </x:c>
      <x:c r="J51" s="18" t="n">
        <x:v>29.23</x:v>
      </x:c>
      <x:c r="K51" s="2" t="str">
        <x:v>TFSA-monthly-statement-transactions-DEMO_CAD-2024-08-01.csv</x:v>
      </x:c>
      <x:c r="L51" s="2" t="n">
        <x:v>8</x:v>
      </x:c>
      <x:c r="M51" s="2" t="str">
        <x:v>CJP - BlackRock iShares Japan Fundamental Index ETF CAD-Hedged: Sold 1.0000 shares (executed at 2024-08-22)</x:v>
      </x:c>
      <x:c r="N51" s="2" t="str">
        <x:v>Imported</x:v>
      </x:c>
      <x:c r="O51" s="17" t="n">
        <x:f>IF(F51="BUY",G51,IF(F51="SELL",-G51,IF(AND(F51="STKREORG",N51="Applied 4-for-1 CDR split"),G51,0)))</x:f>
        <x:v>-1</x:v>
      </x:c>
      <x:c r="P51" s="17" t="n">
        <x:f>SUMIF($E$6:E50,E51,$O$6:O50)</x:f>
        <x:v>1</x:v>
      </x:c>
      <x:c r="Q51" s="18" t="n">
        <x:f>SUMIF($E$6:E50,E51,$S$6:S50)</x:f>
        <x:v>29.47</x:v>
      </x:c>
      <x:c r="R51" s="18" t="n">
        <x:f>IF(P51&gt;0,Q51/P51,0)</x:f>
        <x:v>29.47</x:v>
      </x:c>
      <x:c r="S51" s="18" t="n">
        <x:f>IF(F51="BUY",-H51,IF(F51="SELL",-G51*R51,0))</x:f>
        <x:v>-29.47</x:v>
      </x:c>
      <x:c r="T51" s="18" t="n">
        <x:f>IF(F51="SELL",IF(G51&gt;P51+0.000001,"REVIEW",H51-G51*R51),0)</x:f>
        <x:v>-2.599999999999998</x:v>
      </x:c>
      <x:c r="U51" s="17" t="n">
        <x:f>P51+O51</x:f>
        <x:v>0</x:v>
      </x:c>
      <x:c r="V51" s="18" t="n">
        <x:f>Q51+S51</x:f>
        <x:v>0</x:v>
      </x:c>
      <x:c r="W51" s="18" t="n">
        <x:f>IF(F51="DIV",H51,0)</x:f>
        <x:v>0</x:v>
      </x:c>
      <x:c r="X51" s="18" t="n">
        <x:f>IF(F51="CONT",H51,0)</x:f>
        <x:v>0</x:v>
      </x:c>
      <x:c r="Y51" s="2" t="str">
        <x:f>TEXT(C51,"yyyy-mm")</x:f>
        <x:v>2024-08</x:v>
      </x:c>
      <x:c r="Z51" s="2" t="str">
        <x:f>IF(OR(AND(F51="STKREORG",N51&lt;&gt;"Applied 4-for-1 CDR split"),AND(F51="SELL",G51&gt;P51+0.000001)),"REVIEW","OK")</x:f>
        <x:v>OK</x:v>
      </x:c>
    </x:row>
    <x:row r="52" ht="21" customHeight="1">
      <x:c r="A52" s="2"/>
      <x:c r="B52" s="2" t="str">
        <x:v>39e314e1f452f60fd73b</x:v>
      </x:c>
      <x:c r="C52" s="16" t="d">
        <x:v>2024-08-23T00:00:00.000Z</x:v>
      </x:c>
      <x:c r="D52" s="16" t="d">
        <x:v>2024-08-22T00:00:00.000Z</x:v>
      </x:c>
      <x:c r="E52" s="2" t="str">
        <x:v>AMZN_CDR</x:v>
      </x:c>
      <x:c r="F52" s="2" t="str">
        <x:v>SELL</x:v>
      </x:c>
      <x:c r="G52" s="17" t="n">
        <x:v>2</x:v>
      </x:c>
      <x:c r="H52" s="18" t="n">
        <x:v>42.3</x:v>
      </x:c>
      <x:c r="I52" s="18" t="str">
        <x:v>CAD</x:v>
      </x:c>
      <x:c r="J52" s="18" t="n">
        <x:v>71.53</x:v>
      </x:c>
      <x:c r="K52" s="2" t="str">
        <x:v>TFSA-monthly-statement-transactions-DEMO_CAD-2024-08-01.csv</x:v>
      </x:c>
      <x:c r="L52" s="2" t="n">
        <x:v>9</x:v>
      </x:c>
      <x:c r="M52" s="2" t="str">
        <x:v>AMZN - Amazon.com CDR (CAD Hedged): Sold 2.0000 shares (executed at 2024-08-22)</x:v>
      </x:c>
      <x:c r="N52" s="2" t="str">
        <x:v>Imported</x:v>
      </x:c>
      <x:c r="O52" s="17" t="n">
        <x:f>IF(F52="BUY",G52,IF(F52="SELL",-G52,IF(AND(F52="STKREORG",N52="Applied 4-for-1 CDR split"),G52,0)))</x:f>
        <x:v>-2</x:v>
      </x:c>
      <x:c r="P52" s="17" t="n">
        <x:f>SUMIF($E$6:E51,E52,$O$6:O51)</x:f>
        <x:v>2</x:v>
      </x:c>
      <x:c r="Q52" s="18" t="n">
        <x:f>SUMIF($E$6:E51,E52,$S$6:S51)</x:f>
        <x:v>46.96</x:v>
      </x:c>
      <x:c r="R52" s="18" t="n">
        <x:f>IF(P52&gt;0,Q52/P52,0)</x:f>
        <x:v>23.48</x:v>
      </x:c>
      <x:c r="S52" s="18" t="n">
        <x:f>IF(F52="BUY",-H52,IF(F52="SELL",-G52*R52,0))</x:f>
        <x:v>-46.96</x:v>
      </x:c>
      <x:c r="T52" s="18" t="n">
        <x:f>IF(F52="SELL",IF(G52&gt;P52+0.000001,"REVIEW",H52-G52*R52),0)</x:f>
        <x:v>-4.660000000000004</x:v>
      </x:c>
      <x:c r="U52" s="17" t="n">
        <x:f>P52+O52</x:f>
        <x:v>0</x:v>
      </x:c>
      <x:c r="V52" s="18" t="n">
        <x:f>Q52+S52</x:f>
        <x:v>0</x:v>
      </x:c>
      <x:c r="W52" s="18" t="n">
        <x:f>IF(F52="DIV",H52,0)</x:f>
        <x:v>0</x:v>
      </x:c>
      <x:c r="X52" s="18" t="n">
        <x:f>IF(F52="CONT",H52,0)</x:f>
        <x:v>0</x:v>
      </x:c>
      <x:c r="Y52" s="2" t="str">
        <x:f>TEXT(C52,"yyyy-mm")</x:f>
        <x:v>2024-08</x:v>
      </x:c>
      <x:c r="Z52" s="2" t="str">
        <x:f>IF(OR(AND(F52="STKREORG",N52&lt;&gt;"Applied 4-for-1 CDR split"),AND(F52="SELL",G52&gt;P52+0.000001)),"REVIEW","OK")</x:f>
        <x:v>OK</x:v>
      </x:c>
    </x:row>
    <x:row r="53" ht="21" customHeight="1">
      <x:c r="A53" s="2"/>
      <x:c r="B53" s="2" t="str">
        <x:v>a6987ba932ff714676d0</x:v>
      </x:c>
      <x:c r="C53" s="16" t="d">
        <x:v>2024-08-27T00:00:00.000Z</x:v>
      </x:c>
      <x:c r="D53" s="16" t="d">
        <x:v>2024-08-26T00:00:00.000Z</x:v>
      </x:c>
      <x:c r="E53" s="2" t="str">
        <x:v>VDY_ORD</x:v>
      </x:c>
      <x:c r="F53" s="2" t="str">
        <x:v>BUY</x:v>
      </x:c>
      <x:c r="G53" s="17" t="n">
        <x:v>0.5046</x:v>
      </x:c>
      <x:c r="H53" s="18" t="n">
        <x:v>-23.56</x:v>
      </x:c>
      <x:c r="I53" s="18" t="str">
        <x:v>CAD</x:v>
      </x:c>
      <x:c r="J53" s="18" t="n">
        <x:v>47.97</x:v>
      </x:c>
      <x:c r="K53" s="2" t="str">
        <x:v>TFSA-monthly-statement-transactions-DEMO_CAD-2024-08-01.csv</x:v>
      </x:c>
      <x:c r="L53" s="2" t="n">
        <x:v>10</x:v>
      </x:c>
      <x:c r="M53" s="2" t="str">
        <x:v>VDY - Vanguard FTSE Canadian High Dividend Yield Index ETF: Bought 0.5046 shares (executed at 2024-08-26)</x:v>
      </x:c>
      <x:c r="N53" s="2" t="str">
        <x:v>Imported</x:v>
      </x:c>
      <x:c r="O53" s="17" t="n">
        <x:f>IF(F53="BUY",G53,IF(F53="SELL",-G53,IF(AND(F53="STKREORG",N53="Applied 4-for-1 CDR split"),G53,0)))</x:f>
        <x:v>0.5046</x:v>
      </x:c>
      <x:c r="P53" s="17" t="n">
        <x:f>SUMIF($E$6:E52,E53,$O$6:O52)</x:f>
        <x:v>4.4924</x:v>
      </x:c>
      <x:c r="Q53" s="18" t="n">
        <x:f>SUMIF($E$6:E52,E53,$S$6:S52)</x:f>
        <x:v>200.85000000000002</x:v>
      </x:c>
      <x:c r="R53" s="18" t="n">
        <x:f>IF(P53&gt;0,Q53/P53,0)</x:f>
        <x:v>44.70884159914523</x:v>
      </x:c>
      <x:c r="S53" s="18" t="n">
        <x:f>IF(F53="BUY",-H53,IF(F53="SELL",-G53*R53,0))</x:f>
        <x:v>23.56</x:v>
      </x:c>
      <x:c r="T53" s="18" t="n">
        <x:f>IF(F53="SELL",IF(G53&gt;P53+0.000001,"REVIEW",H53-G53*R53),0)</x:f>
        <x:v>0</x:v>
      </x:c>
      <x:c r="U53" s="17" t="n">
        <x:f>P53+O53</x:f>
        <x:v>4.997</x:v>
      </x:c>
      <x:c r="V53" s="18" t="n">
        <x:f>Q53+S53</x:f>
        <x:v>224.41000000000003</x:v>
      </x:c>
      <x:c r="W53" s="18" t="n">
        <x:f>IF(F53="DIV",H53,0)</x:f>
        <x:v>0</x:v>
      </x:c>
      <x:c r="X53" s="18" t="n">
        <x:f>IF(F53="CONT",H53,0)</x:f>
        <x:v>0</x:v>
      </x:c>
      <x:c r="Y53" s="2" t="str">
        <x:f>TEXT(C53,"yyyy-mm")</x:f>
        <x:v>2024-08</x:v>
      </x:c>
      <x:c r="Z53" s="2" t="str">
        <x:f>IF(OR(AND(F53="STKREORG",N53&lt;&gt;"Applied 4-for-1 CDR split"),AND(F53="SELL",G53&gt;P53+0.000001)),"REVIEW","OK")</x:f>
        <x:v>OK</x:v>
      </x:c>
    </x:row>
    <x:row r="54" ht="21" customHeight="1">
      <x:c r="A54" s="2"/>
      <x:c r="B54" s="2" t="str">
        <x:v>77d810ae33c6a3ad21f1</x:v>
      </x:c>
      <x:c r="C54" s="16" t="d">
        <x:v>2024-08-27T00:00:00.000Z</x:v>
      </x:c>
      <x:c r="D54" s="16" t="d">
        <x:v>2024-08-27T00:00:00.000Z</x:v>
      </x:c>
      <x:c r="E54" s="2" t="str"/>
      <x:c r="F54" s="2" t="str">
        <x:v>CONT</x:v>
      </x:c>
      <x:c r="G54" s="17" t="n">
        <x:v>0</x:v>
      </x:c>
      <x:c r="H54" s="18" t="n">
        <x:v>2000</x:v>
      </x:c>
      <x:c r="I54" s="18" t="str">
        <x:v>CAD</x:v>
      </x:c>
      <x:c r="J54" s="18" t="n">
        <x:v>2047.97</x:v>
      </x:c>
      <x:c r="K54" s="2" t="str">
        <x:v>TFSA-monthly-statement-transactions-DEMO_CAD-2024-08-01.csv</x:v>
      </x:c>
      <x:c r="L54" s="2" t="n">
        <x:v>11</x:v>
      </x:c>
      <x:c r="M54" s="2" t="str">
        <x:v>Contribution (executed at 2024-08-27)</x:v>
      </x:c>
      <x:c r="N54" s="2" t="str">
        <x:v>Imported</x:v>
      </x:c>
      <x:c r="O54" s="17" t="n">
        <x:f>IF(F54="BUY",G54,IF(F54="SELL",-G54,IF(AND(F54="STKREORG",N54="Applied 4-for-1 CDR split"),G54,0)))</x:f>
        <x:v>0</x:v>
      </x:c>
      <x:c r="P54" s="17" t="n">
        <x:f>SUMIF($E$6:E53,E54,$O$6:O53)</x:f>
        <x:v>0</x:v>
      </x:c>
      <x:c r="Q54" s="18" t="n">
        <x:f>SUMIF($E$6:E53,E54,$S$6:S53)</x:f>
        <x:v>0</x:v>
      </x:c>
      <x:c r="R54" s="18" t="n">
        <x:f>IF(P54&gt;0,Q54/P54,0)</x:f>
        <x:v>0</x:v>
      </x:c>
      <x:c r="S54" s="18" t="n">
        <x:f>IF(F54="BUY",-H54,IF(F54="SELL",-G54*R54,0))</x:f>
        <x:v>0</x:v>
      </x:c>
      <x:c r="T54" s="18" t="n">
        <x:f>IF(F54="SELL",IF(G54&gt;P54+0.000001,"REVIEW",H54-G54*R54),0)</x:f>
        <x:v>0</x:v>
      </x:c>
      <x:c r="U54" s="17" t="n">
        <x:f>P54+O54</x:f>
        <x:v>0</x:v>
      </x:c>
      <x:c r="V54" s="18" t="n">
        <x:f>Q54+S54</x:f>
        <x:v>0</x:v>
      </x:c>
      <x:c r="W54" s="18" t="n">
        <x:f>IF(F54="DIV",H54,0)</x:f>
        <x:v>0</x:v>
      </x:c>
      <x:c r="X54" s="18" t="n">
        <x:f>IF(F54="CONT",H54,0)</x:f>
        <x:v>2000</x:v>
      </x:c>
      <x:c r="Y54" s="2" t="str">
        <x:f>TEXT(C54,"yyyy-mm")</x:f>
        <x:v>2024-08</x:v>
      </x:c>
      <x:c r="Z54" s="2" t="str">
        <x:f>IF(OR(AND(F54="STKREORG",N54&lt;&gt;"Applied 4-for-1 CDR split"),AND(F54="SELL",G54&gt;P54+0.000001)),"REVIEW","OK")</x:f>
        <x:v>OK</x:v>
      </x:c>
    </x:row>
    <x:row r="55" ht="21" customHeight="1">
      <x:c r="A55" s="2"/>
      <x:c r="B55" s="2" t="str">
        <x:v>d7e28b5729f3aa52578f</x:v>
      </x:c>
      <x:c r="C55" s="16" t="d">
        <x:v>2024-08-27T00:00:00.000Z</x:v>
      </x:c>
      <x:c r="D55" s="16" t="d">
        <x:v>2024-08-27T00:00:00.000Z</x:v>
      </x:c>
      <x:c r="E55" s="2" t="str">
        <x:v>BMO_ORD</x:v>
      </x:c>
      <x:c r="F55" s="2" t="str">
        <x:v>DIV</x:v>
      </x:c>
      <x:c r="G55" s="17" t="n">
        <x:v>0</x:v>
      </x:c>
      <x:c r="H55" s="18" t="n">
        <x:v>3.1</x:v>
      </x:c>
      <x:c r="I55" s="18" t="str">
        <x:v>CAD</x:v>
      </x:c>
      <x:c r="J55" s="18" t="n">
        <x:v>2051.07</x:v>
      </x:c>
      <x:c r="K55" s="2" t="str">
        <x:v>TFSA-monthly-statement-transactions-DEMO_CAD-2024-08-01.csv</x:v>
      </x:c>
      <x:c r="L55" s="2" t="n">
        <x:v>12</x:v>
      </x:c>
      <x:c r="M55" s="2" t="str">
        <x:v>BMO - Bank of Montreal: Cash dividend distribution, received at 2024-08-27</x:v>
      </x:c>
      <x:c r="N55" s="2" t="str">
        <x:v>Imported</x:v>
      </x:c>
      <x:c r="O55" s="17" t="n">
        <x:f>IF(F55="BUY",G55,IF(F55="SELL",-G55,IF(AND(F55="STKREORG",N55="Applied 4-for-1 CDR split"),G55,0)))</x:f>
        <x:v>0</x:v>
      </x:c>
      <x:c r="P55" s="17" t="n">
        <x:f>SUMIF($E$6:E54,E55,$O$6:O54)</x:f>
        <x:v>2</x:v>
      </x:c>
      <x:c r="Q55" s="18" t="n">
        <x:f>SUMIF($E$6:E54,E55,$S$6:S54)</x:f>
        <x:v>234.09</x:v>
      </x:c>
      <x:c r="R55" s="18" t="n">
        <x:f>IF(P55&gt;0,Q55/P55,0)</x:f>
        <x:v>117.045</x:v>
      </x:c>
      <x:c r="S55" s="18" t="n">
        <x:f>IF(F55="BUY",-H55,IF(F55="SELL",-G55*R55,0))</x:f>
        <x:v>0</x:v>
      </x:c>
      <x:c r="T55" s="18" t="n">
        <x:f>IF(F55="SELL",IF(G55&gt;P55+0.000001,"REVIEW",H55-G55*R55),0)</x:f>
        <x:v>0</x:v>
      </x:c>
      <x:c r="U55" s="17" t="n">
        <x:f>P55+O55</x:f>
        <x:v>2</x:v>
      </x:c>
      <x:c r="V55" s="18" t="n">
        <x:f>Q55+S55</x:f>
        <x:v>234.09</x:v>
      </x:c>
      <x:c r="W55" s="18" t="n">
        <x:f>IF(F55="DIV",H55,0)</x:f>
        <x:v>3.1</x:v>
      </x:c>
      <x:c r="X55" s="18" t="n">
        <x:f>IF(F55="CONT",H55,0)</x:f>
        <x:v>0</x:v>
      </x:c>
      <x:c r="Y55" s="2" t="str">
        <x:f>TEXT(C55,"yyyy-mm")</x:f>
        <x:v>2024-08</x:v>
      </x:c>
      <x:c r="Z55" s="2" t="str">
        <x:f>IF(OR(AND(F55="STKREORG",N55&lt;&gt;"Applied 4-for-1 CDR split"),AND(F55="SELL",G55&gt;P55+0.000001)),"REVIEW","OK")</x:f>
        <x:v>OK</x:v>
      </x:c>
    </x:row>
    <x:row r="56" ht="21" customHeight="1">
      <x:c r="A56" s="2"/>
      <x:c r="B56" s="2" t="str">
        <x:v>c5d4b325b9efc88065c4</x:v>
      </x:c>
      <x:c r="C56" s="16" t="d">
        <x:v>2024-08-29T00:00:00.000Z</x:v>
      </x:c>
      <x:c r="D56" s="16" t="d">
        <x:v>2024-08-28T00:00:00.000Z</x:v>
      </x:c>
      <x:c r="E56" s="2" t="str">
        <x:v>NVDA_CDR</x:v>
      </x:c>
      <x:c r="F56" s="2" t="str">
        <x:v>BUY</x:v>
      </x:c>
      <x:c r="G56" s="17" t="n">
        <x:v>15</x:v>
      </x:c>
      <x:c r="H56" s="18" t="n">
        <x:v>-452.7</x:v>
      </x:c>
      <x:c r="I56" s="18" t="str">
        <x:v>CAD</x:v>
      </x:c>
      <x:c r="J56" s="18" t="n">
        <x:v>1598.37</x:v>
      </x:c>
      <x:c r="K56" s="2" t="str">
        <x:v>TFSA-monthly-statement-transactions-DEMO_CAD-2024-08-01.csv</x:v>
      </x:c>
      <x:c r="L56" s="2" t="n">
        <x:v>13</x:v>
      </x:c>
      <x:c r="M56" s="2" t="str">
        <x:v>NVDA - Nvidia Corp: Bought 15.0000 shares (executed at 2024-08-28)</x:v>
      </x:c>
      <x:c r="N56" s="2" t="str">
        <x:v>Imported</x:v>
      </x:c>
      <x:c r="O56" s="17" t="n">
        <x:f>IF(F56="BUY",G56,IF(F56="SELL",-G56,IF(AND(F56="STKREORG",N56="Applied 4-for-1 CDR split"),G56,0)))</x:f>
        <x:v>15</x:v>
      </x:c>
      <x:c r="P56" s="17" t="n">
        <x:f>SUMIF($E$6:E55,E56,$O$6:O55)</x:f>
        <x:v>4</x:v>
      </x:c>
      <x:c r="Q56" s="18" t="n">
        <x:f>SUMIF($E$6:E55,E56,$S$6:S55)</x:f>
        <x:v>120.27</x:v>
      </x:c>
      <x:c r="R56" s="18" t="n">
        <x:f>IF(P56&gt;0,Q56/P56,0)</x:f>
        <x:v>30.0675</x:v>
      </x:c>
      <x:c r="S56" s="18" t="n">
        <x:f>IF(F56="BUY",-H56,IF(F56="SELL",-G56*R56,0))</x:f>
        <x:v>452.7</x:v>
      </x:c>
      <x:c r="T56" s="18" t="n">
        <x:f>IF(F56="SELL",IF(G56&gt;P56+0.000001,"REVIEW",H56-G56*R56),0)</x:f>
        <x:v>0</x:v>
      </x:c>
      <x:c r="U56" s="17" t="n">
        <x:f>P56+O56</x:f>
        <x:v>19</x:v>
      </x:c>
      <x:c r="V56" s="18" t="n">
        <x:f>Q56+S56</x:f>
        <x:v>572.97</x:v>
      </x:c>
      <x:c r="W56" s="18" t="n">
        <x:f>IF(F56="DIV",H56,0)</x:f>
        <x:v>0</x:v>
      </x:c>
      <x:c r="X56" s="18" t="n">
        <x:f>IF(F56="CONT",H56,0)</x:f>
        <x:v>0</x:v>
      </x:c>
      <x:c r="Y56" s="2" t="str">
        <x:f>TEXT(C56,"yyyy-mm")</x:f>
        <x:v>2024-08</x:v>
      </x:c>
      <x:c r="Z56" s="2" t="str">
        <x:f>IF(OR(AND(F56="STKREORG",N56&lt;&gt;"Applied 4-for-1 CDR split"),AND(F56="SELL",G56&gt;P56+0.000001)),"REVIEW","OK")</x:f>
        <x:v>OK</x:v>
      </x:c>
    </x:row>
    <x:row r="57" ht="21" customHeight="1">
      <x:c r="A57" s="2"/>
      <x:c r="B57" s="2" t="str">
        <x:v>79bf1e36cb94a5202155</x:v>
      </x:c>
      <x:c r="C57" s="16" t="d">
        <x:v>2024-08-29T00:00:00.000Z</x:v>
      </x:c>
      <x:c r="D57" s="16" t="d">
        <x:v>2024-08-28T00:00:00.000Z</x:v>
      </x:c>
      <x:c r="E57" s="2" t="str">
        <x:v>XEI_ORD</x:v>
      </x:c>
      <x:c r="F57" s="2" t="str">
        <x:v>SELL</x:v>
      </x:c>
      <x:c r="G57" s="17" t="n">
        <x:v>2</x:v>
      </x:c>
      <x:c r="H57" s="18" t="n">
        <x:v>52.32</x:v>
      </x:c>
      <x:c r="I57" s="18" t="str">
        <x:v>CAD</x:v>
      </x:c>
      <x:c r="J57" s="18" t="n">
        <x:v>1650.69</x:v>
      </x:c>
      <x:c r="K57" s="2" t="str">
        <x:v>TFSA-monthly-statement-transactions-DEMO_CAD-2024-08-01.csv</x:v>
      </x:c>
      <x:c r="L57" s="2" t="n">
        <x:v>14</x:v>
      </x:c>
      <x:c r="M57" s="2" t="str">
        <x:v>XEI - iShares S&amp;P/TSX Composite High Dividend Income Index ETF: Sold 2.0000 shares (executed at 2024-08-28)</x:v>
      </x:c>
      <x:c r="N57" s="2" t="str">
        <x:v>Imported</x:v>
      </x:c>
      <x:c r="O57" s="17" t="n">
        <x:f>IF(F57="BUY",G57,IF(F57="SELL",-G57,IF(AND(F57="STKREORG",N57="Applied 4-for-1 CDR split"),G57,0)))</x:f>
        <x:v>-2</x:v>
      </x:c>
      <x:c r="P57" s="17" t="n">
        <x:f>SUMIF($E$6:E56,E57,$O$6:O56)</x:f>
        <x:v>2</x:v>
      </x:c>
      <x:c r="Q57" s="18" t="n">
        <x:f>SUMIF($E$6:E56,E57,$S$6:S56)</x:f>
        <x:v>50.16</x:v>
      </x:c>
      <x:c r="R57" s="18" t="n">
        <x:f>IF(P57&gt;0,Q57/P57,0)</x:f>
        <x:v>25.08</x:v>
      </x:c>
      <x:c r="S57" s="18" t="n">
        <x:f>IF(F57="BUY",-H57,IF(F57="SELL",-G57*R57,0))</x:f>
        <x:v>-50.16</x:v>
      </x:c>
      <x:c r="T57" s="18" t="n">
        <x:f>IF(F57="SELL",IF(G57&gt;P57+0.000001,"REVIEW",H57-G57*R57),0)</x:f>
        <x:v>2.1600000000000037</x:v>
      </x:c>
      <x:c r="U57" s="17" t="n">
        <x:f>P57+O57</x:f>
        <x:v>0</x:v>
      </x:c>
      <x:c r="V57" s="18" t="n">
        <x:f>Q57+S57</x:f>
        <x:v>0</x:v>
      </x:c>
      <x:c r="W57" s="18" t="n">
        <x:f>IF(F57="DIV",H57,0)</x:f>
        <x:v>0</x:v>
      </x:c>
      <x:c r="X57" s="18" t="n">
        <x:f>IF(F57="CONT",H57,0)</x:f>
        <x:v>0</x:v>
      </x:c>
      <x:c r="Y57" s="2" t="str">
        <x:f>TEXT(C57,"yyyy-mm")</x:f>
        <x:v>2024-08</x:v>
      </x:c>
      <x:c r="Z57" s="2" t="str">
        <x:f>IF(OR(AND(F57="STKREORG",N57&lt;&gt;"Applied 4-for-1 CDR split"),AND(F57="SELL",G57&gt;P57+0.000001)),"REVIEW","OK")</x:f>
        <x:v>OK</x:v>
      </x:c>
    </x:row>
    <x:row r="58" ht="21" customHeight="1">
      <x:c r="A58" s="2"/>
      <x:c r="B58" s="2" t="str">
        <x:v>3dbecc776e8448748a44</x:v>
      </x:c>
      <x:c r="C58" s="16" t="d">
        <x:v>2024-08-30T00:00:00.000Z</x:v>
      </x:c>
      <x:c r="D58" s="16" t="d">
        <x:v>2024-08-29T00:00:00.000Z</x:v>
      </x:c>
      <x:c r="E58" s="2" t="str">
        <x:v>AAPL_CDR</x:v>
      </x:c>
      <x:c r="F58" s="2" t="str">
        <x:v>BUY</x:v>
      </x:c>
      <x:c r="G58" s="17" t="n">
        <x:v>1</x:v>
      </x:c>
      <x:c r="H58" s="18" t="n">
        <x:v>-33.89</x:v>
      </x:c>
      <x:c r="I58" s="18" t="str">
        <x:v>CAD</x:v>
      </x:c>
      <x:c r="J58" s="18" t="n">
        <x:v>1616.8</x:v>
      </x:c>
      <x:c r="K58" s="2" t="str">
        <x:v>TFSA-monthly-statement-transactions-DEMO_CAD-2024-08-01.csv</x:v>
      </x:c>
      <x:c r="L58" s="2" t="n">
        <x:v>15</x:v>
      </x:c>
      <x:c r="M58" s="2" t="str">
        <x:v>AAPL - Apple CDR (CAD Hedged) : Bought 1.0000 shares (executed at 2024-08-29)</x:v>
      </x:c>
      <x:c r="N58" s="2" t="str">
        <x:v>Imported</x:v>
      </x:c>
      <x:c r="O58" s="17" t="n">
        <x:f>IF(F58="BUY",G58,IF(F58="SELL",-G58,IF(AND(F58="STKREORG",N58="Applied 4-for-1 CDR split"),G58,0)))</x:f>
        <x:v>1</x:v>
      </x:c>
      <x:c r="P58" s="17" t="n">
        <x:f>SUMIF($E$6:E57,E58,$O$6:O57)</x:f>
        <x:v>2</x:v>
      </x:c>
      <x:c r="Q58" s="18" t="n">
        <x:f>SUMIF($E$6:E57,E58,$S$6:S57)</x:f>
        <x:v>67.38</x:v>
      </x:c>
      <x:c r="R58" s="18" t="n">
        <x:f>IF(P58&gt;0,Q58/P58,0)</x:f>
        <x:v>33.69</x:v>
      </x:c>
      <x:c r="S58" s="18" t="n">
        <x:f>IF(F58="BUY",-H58,IF(F58="SELL",-G58*R58,0))</x:f>
        <x:v>33.89</x:v>
      </x:c>
      <x:c r="T58" s="18" t="n">
        <x:f>IF(F58="SELL",IF(G58&gt;P58+0.000001,"REVIEW",H58-G58*R58),0)</x:f>
        <x:v>0</x:v>
      </x:c>
      <x:c r="U58" s="17" t="n">
        <x:f>P58+O58</x:f>
        <x:v>3</x:v>
      </x:c>
      <x:c r="V58" s="18" t="n">
        <x:f>Q58+S58</x:f>
        <x:v>101.27</x:v>
      </x:c>
      <x:c r="W58" s="18" t="n">
        <x:f>IF(F58="DIV",H58,0)</x:f>
        <x:v>0</x:v>
      </x:c>
      <x:c r="X58" s="18" t="n">
        <x:f>IF(F58="CONT",H58,0)</x:f>
        <x:v>0</x:v>
      </x:c>
      <x:c r="Y58" s="2" t="str">
        <x:f>TEXT(C58,"yyyy-mm")</x:f>
        <x:v>2024-08</x:v>
      </x:c>
      <x:c r="Z58" s="2" t="str">
        <x:f>IF(OR(AND(F58="STKREORG",N58&lt;&gt;"Applied 4-for-1 CDR split"),AND(F58="SELL",G58&gt;P58+0.000001)),"REVIEW","OK")</x:f>
        <x:v>OK</x:v>
      </x:c>
    </x:row>
    <x:row r="59" ht="21" customHeight="1">
      <x:c r="A59" s="2"/>
      <x:c r="B59" s="2" t="str">
        <x:v>667549806d116962ef32</x:v>
      </x:c>
      <x:c r="C59" s="16" t="d">
        <x:v>2024-08-30T00:00:00.000Z</x:v>
      </x:c>
      <x:c r="D59" s="16" t="d">
        <x:v>2024-08-29T00:00:00.000Z</x:v>
      </x:c>
      <x:c r="E59" s="2" t="str">
        <x:v>VDY_ORD</x:v>
      </x:c>
      <x:c r="F59" s="2" t="str">
        <x:v>BUY</x:v>
      </x:c>
      <x:c r="G59" s="17" t="n">
        <x:v>5</x:v>
      </x:c>
      <x:c r="H59" s="18" t="n">
        <x:v>-233</x:v>
      </x:c>
      <x:c r="I59" s="18" t="str">
        <x:v>CAD</x:v>
      </x:c>
      <x:c r="J59" s="18" t="n">
        <x:v>1383.8</x:v>
      </x:c>
      <x:c r="K59" s="2" t="str">
        <x:v>TFSA-monthly-statement-transactions-DEMO_CAD-2024-08-01.csv</x:v>
      </x:c>
      <x:c r="L59" s="2" t="n">
        <x:v>16</x:v>
      </x:c>
      <x:c r="M59" s="2" t="str">
        <x:v>VDY - Vanguard FTSE Canadian High Dividend Yield Index ETF: Bought 5.0000 shares (executed at 2024-08-29)</x:v>
      </x:c>
      <x:c r="N59" s="2" t="str">
        <x:v>Imported</x:v>
      </x:c>
      <x:c r="O59" s="17" t="n">
        <x:f>IF(F59="BUY",G59,IF(F59="SELL",-G59,IF(AND(F59="STKREORG",N59="Applied 4-for-1 CDR split"),G59,0)))</x:f>
        <x:v>5</x:v>
      </x:c>
      <x:c r="P59" s="17" t="n">
        <x:f>SUMIF($E$6:E58,E59,$O$6:O58)</x:f>
        <x:v>4.997</x:v>
      </x:c>
      <x:c r="Q59" s="18" t="n">
        <x:f>SUMIF($E$6:E58,E59,$S$6:S58)</x:f>
        <x:v>224.41000000000003</x:v>
      </x:c>
      <x:c r="R59" s="18" t="n">
        <x:f>IF(P59&gt;0,Q59/P59,0)</x:f>
        <x:v>44.90894536722034</x:v>
      </x:c>
      <x:c r="S59" s="18" t="n">
        <x:f>IF(F59="BUY",-H59,IF(F59="SELL",-G59*R59,0))</x:f>
        <x:v>233</x:v>
      </x:c>
      <x:c r="T59" s="18" t="n">
        <x:f>IF(F59="SELL",IF(G59&gt;P59+0.000001,"REVIEW",H59-G59*R59),0)</x:f>
        <x:v>0</x:v>
      </x:c>
      <x:c r="U59" s="17" t="n">
        <x:f>P59+O59</x:f>
        <x:v>9.997</x:v>
      </x:c>
      <x:c r="V59" s="18" t="n">
        <x:f>Q59+S59</x:f>
        <x:v>457.41</x:v>
      </x:c>
      <x:c r="W59" s="18" t="n">
        <x:f>IF(F59="DIV",H59,0)</x:f>
        <x:v>0</x:v>
      </x:c>
      <x:c r="X59" s="18" t="n">
        <x:f>IF(F59="CONT",H59,0)</x:f>
        <x:v>0</x:v>
      </x:c>
      <x:c r="Y59" s="2" t="str">
        <x:f>TEXT(C59,"yyyy-mm")</x:f>
        <x:v>2024-08</x:v>
      </x:c>
      <x:c r="Z59" s="2" t="str">
        <x:f>IF(OR(AND(F59="STKREORG",N59&lt;&gt;"Applied 4-for-1 CDR split"),AND(F59="SELL",G59&gt;P59+0.000001)),"REVIEW","OK")</x:f>
        <x:v>OK</x:v>
      </x:c>
    </x:row>
    <x:row r="60" ht="21" customHeight="1">
      <x:c r="A60" s="2"/>
      <x:c r="B60" s="2" t="str">
        <x:v>ff1b60c6b4d17a2bd72b</x:v>
      </x:c>
      <x:c r="C60" s="16" t="d">
        <x:v>2024-08-30T00:00:00.000Z</x:v>
      </x:c>
      <x:c r="D60" s="16" t="d">
        <x:v>2024-08-29T00:00:00.000Z</x:v>
      </x:c>
      <x:c r="E60" s="2" t="str">
        <x:v>VDY_ORD</x:v>
      </x:c>
      <x:c r="F60" s="2" t="str">
        <x:v>BUY</x:v>
      </x:c>
      <x:c r="G60" s="17" t="n">
        <x:v>4</x:v>
      </x:c>
      <x:c r="H60" s="18" t="n">
        <x:v>-186.4</x:v>
      </x:c>
      <x:c r="I60" s="18" t="str">
        <x:v>CAD</x:v>
      </x:c>
      <x:c r="J60" s="18" t="n">
        <x:v>1197.4</x:v>
      </x:c>
      <x:c r="K60" s="2" t="str">
        <x:v>TFSA-monthly-statement-transactions-DEMO_CAD-2024-08-01.csv</x:v>
      </x:c>
      <x:c r="L60" s="2" t="n">
        <x:v>17</x:v>
      </x:c>
      <x:c r="M60" s="2" t="str">
        <x:v>VDY - Vanguard FTSE Canadian High Dividend Yield Index ETF: Bought 4.0000 shares (executed at 2024-08-29)</x:v>
      </x:c>
      <x:c r="N60" s="2" t="str">
        <x:v>Imported</x:v>
      </x:c>
      <x:c r="O60" s="17" t="n">
        <x:f>IF(F60="BUY",G60,IF(F60="SELL",-G60,IF(AND(F60="STKREORG",N60="Applied 4-for-1 CDR split"),G60,0)))</x:f>
        <x:v>4</x:v>
      </x:c>
      <x:c r="P60" s="17" t="n">
        <x:f>SUMIF($E$6:E59,E60,$O$6:O59)</x:f>
        <x:v>9.997</x:v>
      </x:c>
      <x:c r="Q60" s="18" t="n">
        <x:f>SUMIF($E$6:E59,E60,$S$6:S59)</x:f>
        <x:v>457.41</x:v>
      </x:c>
      <x:c r="R60" s="18" t="n">
        <x:f>IF(P60&gt;0,Q60/P60,0)</x:f>
        <x:v>45.75472641792538</x:v>
      </x:c>
      <x:c r="S60" s="18" t="n">
        <x:f>IF(F60="BUY",-H60,IF(F60="SELL",-G60*R60,0))</x:f>
        <x:v>186.4</x:v>
      </x:c>
      <x:c r="T60" s="18" t="n">
        <x:f>IF(F60="SELL",IF(G60&gt;P60+0.000001,"REVIEW",H60-G60*R60),0)</x:f>
        <x:v>0</x:v>
      </x:c>
      <x:c r="U60" s="17" t="n">
        <x:f>P60+O60</x:f>
        <x:v>13.997</x:v>
      </x:c>
      <x:c r="V60" s="18" t="n">
        <x:f>Q60+S60</x:f>
        <x:v>643.8100000000001</x:v>
      </x:c>
      <x:c r="W60" s="18" t="n">
        <x:f>IF(F60="DIV",H60,0)</x:f>
        <x:v>0</x:v>
      </x:c>
      <x:c r="X60" s="18" t="n">
        <x:f>IF(F60="CONT",H60,0)</x:f>
        <x:v>0</x:v>
      </x:c>
      <x:c r="Y60" s="2" t="str">
        <x:f>TEXT(C60,"yyyy-mm")</x:f>
        <x:v>2024-08</x:v>
      </x:c>
      <x:c r="Z60" s="2" t="str">
        <x:f>IF(OR(AND(F60="STKREORG",N60&lt;&gt;"Applied 4-for-1 CDR split"),AND(F60="SELL",G60&gt;P60+0.000001)),"REVIEW","OK")</x:f>
        <x:v>OK</x:v>
      </x:c>
    </x:row>
    <x:row r="61" ht="21" customHeight="1">
      <x:c r="A61" s="2"/>
      <x:c r="B61" s="2" t="str">
        <x:v>d752d8a6cf1a8c66c721</x:v>
      </x:c>
      <x:c r="C61" s="16" t="d">
        <x:v>2024-08-30T00:00:00.000Z</x:v>
      </x:c>
      <x:c r="D61" s="16" t="d">
        <x:v>2024-08-30T00:00:00.000Z</x:v>
      </x:c>
      <x:c r="E61" s="2" t="str">
        <x:v>XEI_ORD</x:v>
      </x:c>
      <x:c r="F61" s="2" t="str">
        <x:v>DIV</x:v>
      </x:c>
      <x:c r="G61" s="17" t="n">
        <x:v>0</x:v>
      </x:c>
      <x:c r="H61" s="18" t="n">
        <x:v>0.23</x:v>
      </x:c>
      <x:c r="I61" s="18" t="str">
        <x:v>CAD</x:v>
      </x:c>
      <x:c r="J61" s="18" t="n">
        <x:v>1197.63</x:v>
      </x:c>
      <x:c r="K61" s="2" t="str">
        <x:v>TFSA-monthly-statement-transactions-DEMO_CAD-2024-08-01.csv</x:v>
      </x:c>
      <x:c r="L61" s="2" t="n">
        <x:v>18</x:v>
      </x:c>
      <x:c r="M61" s="2" t="str">
        <x:v>XEI - iShares S&amp;P/TSX Composite High Dividend Income Index ETF: Cash dividend distribution, received at 2024-08-30</x:v>
      </x:c>
      <x:c r="N61" s="2" t="str">
        <x:v>Imported</x:v>
      </x:c>
      <x:c r="O61" s="17" t="n">
        <x:f>IF(F61="BUY",G61,IF(F61="SELL",-G61,IF(AND(F61="STKREORG",N61="Applied 4-for-1 CDR split"),G61,0)))</x:f>
        <x:v>0</x:v>
      </x:c>
      <x:c r="P61" s="17" t="n">
        <x:f>SUMIF($E$6:E60,E61,$O$6:O60)</x:f>
        <x:v>0</x:v>
      </x:c>
      <x:c r="Q61" s="18" t="n">
        <x:f>SUMIF($E$6:E60,E61,$S$6:S60)</x:f>
        <x:v>0</x:v>
      </x:c>
      <x:c r="R61" s="18" t="n">
        <x:f>IF(P61&gt;0,Q61/P61,0)</x:f>
        <x:v>0</x:v>
      </x:c>
      <x:c r="S61" s="18" t="n">
        <x:f>IF(F61="BUY",-H61,IF(F61="SELL",-G61*R61,0))</x:f>
        <x:v>0</x:v>
      </x:c>
      <x:c r="T61" s="18" t="n">
        <x:f>IF(F61="SELL",IF(G61&gt;P61+0.000001,"REVIEW",H61-G61*R61),0)</x:f>
        <x:v>0</x:v>
      </x:c>
      <x:c r="U61" s="17" t="n">
        <x:f>P61+O61</x:f>
        <x:v>0</x:v>
      </x:c>
      <x:c r="V61" s="18" t="n">
        <x:f>Q61+S61</x:f>
        <x:v>0</x:v>
      </x:c>
      <x:c r="W61" s="18" t="n">
        <x:f>IF(F61="DIV",H61,0)</x:f>
        <x:v>0.23</x:v>
      </x:c>
      <x:c r="X61" s="18" t="n">
        <x:f>IF(F61="CONT",H61,0)</x:f>
        <x:v>0</x:v>
      </x:c>
      <x:c r="Y61" s="2" t="str">
        <x:f>TEXT(C61,"yyyy-mm")</x:f>
        <x:v>2024-08</x:v>
      </x:c>
      <x:c r="Z61" s="2" t="str">
        <x:f>IF(OR(AND(F61="STKREORG",N61&lt;&gt;"Applied 4-for-1 CDR split"),AND(F61="SELL",G61&gt;P61+0.000001)),"REVIEW","OK")</x:f>
        <x:v>OK</x:v>
      </x:c>
    </x:row>
    <x:row r="62" ht="21" customHeight="1">
      <x:c r="A62" s="2"/>
      <x:c r="B62" s="2" t="str">
        <x:v>737bdc7264bc86174da5</x:v>
      </x:c>
      <x:c r="C62" s="16" t="d">
        <x:v>2024-09-03T00:00:00.000Z</x:v>
      </x:c>
      <x:c r="D62" s="16" t="d">
        <x:v>2024-08-30T00:00:00.000Z</x:v>
      </x:c>
      <x:c r="E62" s="2" t="str">
        <x:v>CASH_ORD</x:v>
      </x:c>
      <x:c r="F62" s="2" t="str">
        <x:v>BUY</x:v>
      </x:c>
      <x:c r="G62" s="17" t="n">
        <x:v>10.8943</x:v>
      </x:c>
      <x:c r="H62" s="18" t="n">
        <x:v>-544.88</x:v>
      </x:c>
      <x:c r="I62" s="18" t="str">
        <x:v>CAD</x:v>
      </x:c>
      <x:c r="J62" s="18" t="n">
        <x:v>652.75</x:v>
      </x:c>
      <x:c r="K62" s="2" t="str">
        <x:v>TFSA-monthly-statement-transactions-DEMO_CAD-2024-09-01.csv</x:v>
      </x:c>
      <x:c r="L62" s="2" t="n">
        <x:v>2</x:v>
      </x:c>
      <x:c r="M62" s="2" t="str">
        <x:v>CASH - Global X High Interest Savings ETF: Bought 10.8943 shares (executed at 2024-08-30)</x:v>
      </x:c>
      <x:c r="N62" s="2" t="str">
        <x:v>Imported</x:v>
      </x:c>
      <x:c r="O62" s="17" t="n">
        <x:f>IF(F62="BUY",G62,IF(F62="SELL",-G62,IF(AND(F62="STKREORG",N62="Applied 4-for-1 CDR split"),G62,0)))</x:f>
        <x:v>10.8943</x:v>
      </x:c>
      <x:c r="P62" s="17" t="n">
        <x:f>SUMIF($E$6:E61,E62,$O$6:O61)</x:f>
        <x:v>17.1393</x:v>
      </x:c>
      <x:c r="Q62" s="18" t="n">
        <x:f>SUMIF($E$6:E61,E62,$S$6:S61)</x:f>
        <x:v>857.97</x:v>
      </x:c>
      <x:c r="R62" s="18" t="n">
        <x:f>IF(P62&gt;0,Q62/P62,0)</x:f>
        <x:v>50.058637167212204</x:v>
      </x:c>
      <x:c r="S62" s="18" t="n">
        <x:f>IF(F62="BUY",-H62,IF(F62="SELL",-G62*R62,0))</x:f>
        <x:v>544.88</x:v>
      </x:c>
      <x:c r="T62" s="18" t="n">
        <x:f>IF(F62="SELL",IF(G62&gt;P62+0.000001,"REVIEW",H62-G62*R62),0)</x:f>
        <x:v>0</x:v>
      </x:c>
      <x:c r="U62" s="17" t="n">
        <x:f>P62+O62</x:f>
        <x:v>28.0336</x:v>
      </x:c>
      <x:c r="V62" s="18" t="n">
        <x:f>Q62+S62</x:f>
        <x:v>1402.85</x:v>
      </x:c>
      <x:c r="W62" s="18" t="n">
        <x:f>IF(F62="DIV",H62,0)</x:f>
        <x:v>0</x:v>
      </x:c>
      <x:c r="X62" s="18" t="n">
        <x:f>IF(F62="CONT",H62,0)</x:f>
        <x:v>0</x:v>
      </x:c>
      <x:c r="Y62" s="2" t="str">
        <x:f>TEXT(C62,"yyyy-mm")</x:f>
        <x:v>2024-09</x:v>
      </x:c>
      <x:c r="Z62" s="2" t="str">
        <x:f>IF(OR(AND(F62="STKREORG",N62&lt;&gt;"Applied 4-for-1 CDR split"),AND(F62="SELL",G62&gt;P62+0.000001)),"REVIEW","OK")</x:f>
        <x:v>OK</x:v>
      </x:c>
    </x:row>
    <x:row r="63" ht="21" customHeight="1">
      <x:c r="A63" s="2"/>
      <x:c r="B63" s="2" t="str">
        <x:v>1b742747d8f412f771df</x:v>
      </x:c>
      <x:c r="C63" s="16" t="d">
        <x:v>2024-09-09T00:00:00.000Z</x:v>
      </x:c>
      <x:c r="D63" s="16" t="d">
        <x:v>2024-09-09T00:00:00.000Z</x:v>
      </x:c>
      <x:c r="E63" s="2" t="str">
        <x:v>CASH_ORD</x:v>
      </x:c>
      <x:c r="F63" s="2" t="str">
        <x:v>DIV</x:v>
      </x:c>
      <x:c r="G63" s="17" t="n">
        <x:v>0</x:v>
      </x:c>
      <x:c r="H63" s="18" t="n">
        <x:v>3.09</x:v>
      </x:c>
      <x:c r="I63" s="18" t="str">
        <x:v>CAD</x:v>
      </x:c>
      <x:c r="J63" s="18" t="n">
        <x:v>655.84</x:v>
      </x:c>
      <x:c r="K63" s="2" t="str">
        <x:v>TFSA-monthly-statement-transactions-DEMO_CAD-2024-09-01.csv</x:v>
      </x:c>
      <x:c r="L63" s="2" t="n">
        <x:v>3</x:v>
      </x:c>
      <x:c r="M63" s="2" t="str">
        <x:v>CASH - Global X High Interest Savings ETF: Cash dividend distribution, received at 2024-09-09</x:v>
      </x:c>
      <x:c r="N63" s="2" t="str">
        <x:v>Imported</x:v>
      </x:c>
      <x:c r="O63" s="17" t="n">
        <x:f>IF(F63="BUY",G63,IF(F63="SELL",-G63,IF(AND(F63="STKREORG",N63="Applied 4-for-1 CDR split"),G63,0)))</x:f>
        <x:v>0</x:v>
      </x:c>
      <x:c r="P63" s="17" t="n">
        <x:f>SUMIF($E$6:E62,E63,$O$6:O62)</x:f>
        <x:v>28.0336</x:v>
      </x:c>
      <x:c r="Q63" s="18" t="n">
        <x:f>SUMIF($E$6:E62,E63,$S$6:S62)</x:f>
        <x:v>1402.85</x:v>
      </x:c>
      <x:c r="R63" s="18" t="n">
        <x:f>IF(P63&gt;0,Q63/P63,0)</x:f>
        <x:v>50.04173563152788</x:v>
      </x:c>
      <x:c r="S63" s="18" t="n">
        <x:f>IF(F63="BUY",-H63,IF(F63="SELL",-G63*R63,0))</x:f>
        <x:v>0</x:v>
      </x:c>
      <x:c r="T63" s="18" t="n">
        <x:f>IF(F63="SELL",IF(G63&gt;P63+0.000001,"REVIEW",H63-G63*R63),0)</x:f>
        <x:v>0</x:v>
      </x:c>
      <x:c r="U63" s="17" t="n">
        <x:f>P63+O63</x:f>
        <x:v>28.0336</x:v>
      </x:c>
      <x:c r="V63" s="18" t="n">
        <x:f>Q63+S63</x:f>
        <x:v>1402.85</x:v>
      </x:c>
      <x:c r="W63" s="18" t="n">
        <x:f>IF(F63="DIV",H63,0)</x:f>
        <x:v>3.09</x:v>
      </x:c>
      <x:c r="X63" s="18" t="n">
        <x:f>IF(F63="CONT",H63,0)</x:f>
        <x:v>0</x:v>
      </x:c>
      <x:c r="Y63" s="2" t="str">
        <x:f>TEXT(C63,"yyyy-mm")</x:f>
        <x:v>2024-09</x:v>
      </x:c>
      <x:c r="Z63" s="2" t="str">
        <x:f>IF(OR(AND(F63="STKREORG",N63&lt;&gt;"Applied 4-for-1 CDR split"),AND(F63="SELL",G63&gt;P63+0.000001)),"REVIEW","OK")</x:f>
        <x:v>OK</x:v>
      </x:c>
    </x:row>
    <x:row r="64" ht="21" customHeight="1">
      <x:c r="A64" s="2"/>
      <x:c r="B64" s="2" t="str">
        <x:v>1f320edcb3f495a4a10f</x:v>
      </x:c>
      <x:c r="C64" s="16" t="d">
        <x:v>2024-09-11T00:00:00.000Z</x:v>
      </x:c>
      <x:c r="D64" s="16" t="d">
        <x:v>2024-09-11T00:00:00.000Z</x:v>
      </x:c>
      <x:c r="E64" s="2" t="str">
        <x:v>VDY_ORD</x:v>
      </x:c>
      <x:c r="F64" s="2" t="str">
        <x:v>DIV</x:v>
      </x:c>
      <x:c r="G64" s="17" t="n">
        <x:v>0</x:v>
      </x:c>
      <x:c r="H64" s="18" t="n">
        <x:v>2.72</x:v>
      </x:c>
      <x:c r="I64" s="18" t="str">
        <x:v>CAD</x:v>
      </x:c>
      <x:c r="J64" s="18" t="n">
        <x:v>658.56</x:v>
      </x:c>
      <x:c r="K64" s="2" t="str">
        <x:v>TFSA-monthly-statement-transactions-DEMO_CAD-2024-09-01.csv</x:v>
      </x:c>
      <x:c r="L64" s="2" t="n">
        <x:v>4</x:v>
      </x:c>
      <x:c r="M64" s="2" t="str">
        <x:v>VDY - Vanguard FTSE Canadian High Dividend Yield Index ETF: Cash dividend distribution, received at 2024-09-11</x:v>
      </x:c>
      <x:c r="N64" s="2" t="str">
        <x:v>Imported</x:v>
      </x:c>
      <x:c r="O64" s="17" t="n">
        <x:f>IF(F64="BUY",G64,IF(F64="SELL",-G64,IF(AND(F64="STKREORG",N64="Applied 4-for-1 CDR split"),G64,0)))</x:f>
        <x:v>0</x:v>
      </x:c>
      <x:c r="P64" s="17" t="n">
        <x:f>SUMIF($E$6:E63,E64,$O$6:O63)</x:f>
        <x:v>13.997</x:v>
      </x:c>
      <x:c r="Q64" s="18" t="n">
        <x:f>SUMIF($E$6:E63,E64,$S$6:S63)</x:f>
        <x:v>643.8100000000001</x:v>
      </x:c>
      <x:c r="R64" s="18" t="n">
        <x:f>IF(P64&gt;0,Q64/P64,0)</x:f>
        <x:v>45.996284918196764</x:v>
      </x:c>
      <x:c r="S64" s="18" t="n">
        <x:f>IF(F64="BUY",-H64,IF(F64="SELL",-G64*R64,0))</x:f>
        <x:v>0</x:v>
      </x:c>
      <x:c r="T64" s="18" t="n">
        <x:f>IF(F64="SELL",IF(G64&gt;P64+0.000001,"REVIEW",H64-G64*R64),0)</x:f>
        <x:v>0</x:v>
      </x:c>
      <x:c r="U64" s="17" t="n">
        <x:f>P64+O64</x:f>
        <x:v>13.997</x:v>
      </x:c>
      <x:c r="V64" s="18" t="n">
        <x:f>Q64+S64</x:f>
        <x:v>643.8100000000001</x:v>
      </x:c>
      <x:c r="W64" s="18" t="n">
        <x:f>IF(F64="DIV",H64,0)</x:f>
        <x:v>2.72</x:v>
      </x:c>
      <x:c r="X64" s="18" t="n">
        <x:f>IF(F64="CONT",H64,0)</x:f>
        <x:v>0</x:v>
      </x:c>
      <x:c r="Y64" s="2" t="str">
        <x:f>TEXT(C64,"yyyy-mm")</x:f>
        <x:v>2024-09</x:v>
      </x:c>
      <x:c r="Z64" s="2" t="str">
        <x:f>IF(OR(AND(F64="STKREORG",N64&lt;&gt;"Applied 4-for-1 CDR split"),AND(F64="SELL",G64&gt;P64+0.000001)),"REVIEW","OK")</x:f>
        <x:v>OK</x:v>
      </x:c>
    </x:row>
    <x:row r="65" ht="21" customHeight="1">
      <x:c r="A65" s="2"/>
      <x:c r="B65" s="2" t="str">
        <x:v>73e63831b315c2e81b13</x:v>
      </x:c>
      <x:c r="C65" s="16" t="d">
        <x:v>2024-09-16T00:00:00.000Z</x:v>
      </x:c>
      <x:c r="D65" s="16" t="d">
        <x:v>2024-09-13T00:00:00.000Z</x:v>
      </x:c>
      <x:c r="E65" s="2" t="str">
        <x:v>VDY_ORD</x:v>
      </x:c>
      <x:c r="F65" s="2" t="str">
        <x:v>BUY</x:v>
      </x:c>
      <x:c r="G65" s="17" t="n">
        <x:v>13</x:v>
      </x:c>
      <x:c r="H65" s="18" t="n">
        <x:v>-618.28</x:v>
      </x:c>
      <x:c r="I65" s="18" t="str">
        <x:v>CAD</x:v>
      </x:c>
      <x:c r="J65" s="18" t="n">
        <x:v>40.28</x:v>
      </x:c>
      <x:c r="K65" s="2" t="str">
        <x:v>TFSA-monthly-statement-transactions-DEMO_CAD-2024-09-01.csv</x:v>
      </x:c>
      <x:c r="L65" s="2" t="n">
        <x:v>5</x:v>
      </x:c>
      <x:c r="M65" s="2" t="str">
        <x:v>VDY - Vanguard FTSE Canadian High Dividend Yield Index ETF: Bought 13.0000 shares (executed at 2024-09-13)</x:v>
      </x:c>
      <x:c r="N65" s="2" t="str">
        <x:v>Imported</x:v>
      </x:c>
      <x:c r="O65" s="17" t="n">
        <x:f>IF(F65="BUY",G65,IF(F65="SELL",-G65,IF(AND(F65="STKREORG",N65="Applied 4-for-1 CDR split"),G65,0)))</x:f>
        <x:v>13</x:v>
      </x:c>
      <x:c r="P65" s="17" t="n">
        <x:f>SUMIF($E$6:E64,E65,$O$6:O64)</x:f>
        <x:v>13.997</x:v>
      </x:c>
      <x:c r="Q65" s="18" t="n">
        <x:f>SUMIF($E$6:E64,E65,$S$6:S64)</x:f>
        <x:v>643.8100000000001</x:v>
      </x:c>
      <x:c r="R65" s="18" t="n">
        <x:f>IF(P65&gt;0,Q65/P65,0)</x:f>
        <x:v>45.996284918196764</x:v>
      </x:c>
      <x:c r="S65" s="18" t="n">
        <x:f>IF(F65="BUY",-H65,IF(F65="SELL",-G65*R65,0))</x:f>
        <x:v>618.28</x:v>
      </x:c>
      <x:c r="T65" s="18" t="n">
        <x:f>IF(F65="SELL",IF(G65&gt;P65+0.000001,"REVIEW",H65-G65*R65),0)</x:f>
        <x:v>0</x:v>
      </x:c>
      <x:c r="U65" s="17" t="n">
        <x:f>P65+O65</x:f>
        <x:v>26.997</x:v>
      </x:c>
      <x:c r="V65" s="18" t="n">
        <x:f>Q65+S65</x:f>
        <x:v>1262.0900000000001</x:v>
      </x:c>
      <x:c r="W65" s="18" t="n">
        <x:f>IF(F65="DIV",H65,0)</x:f>
        <x:v>0</x:v>
      </x:c>
      <x:c r="X65" s="18" t="n">
        <x:f>IF(F65="CONT",H65,0)</x:f>
        <x:v>0</x:v>
      </x:c>
      <x:c r="Y65" s="2" t="str">
        <x:f>TEXT(C65,"yyyy-mm")</x:f>
        <x:v>2024-09</x:v>
      </x:c>
      <x:c r="Z65" s="2" t="str">
        <x:f>IF(OR(AND(F65="STKREORG",N65&lt;&gt;"Applied 4-for-1 CDR split"),AND(F65="SELL",G65&gt;P65+0.000001)),"REVIEW","OK")</x:f>
        <x:v>OK</x:v>
      </x:c>
    </x:row>
    <x:row r="66" ht="21" customHeight="1">
      <x:c r="A66" s="2"/>
      <x:c r="B66" s="2" t="str">
        <x:v>b0e708b050f55adadb9d</x:v>
      </x:c>
      <x:c r="C66" s="16" t="d">
        <x:v>2024-09-17T00:00:00.000Z</x:v>
      </x:c>
      <x:c r="D66" s="16" t="d">
        <x:v>2024-09-16T00:00:00.000Z</x:v>
      </x:c>
      <x:c r="E66" s="2" t="str">
        <x:v>BMO_ORD</x:v>
      </x:c>
      <x:c r="F66" s="2" t="str">
        <x:v>SELL</x:v>
      </x:c>
      <x:c r="G66" s="17" t="n">
        <x:v>2</x:v>
      </x:c>
      <x:c r="H66" s="18" t="n">
        <x:v>235.3</x:v>
      </x:c>
      <x:c r="I66" s="18" t="str">
        <x:v>CAD</x:v>
      </x:c>
      <x:c r="J66" s="18" t="n">
        <x:v>275.58</x:v>
      </x:c>
      <x:c r="K66" s="2" t="str">
        <x:v>TFSA-monthly-statement-transactions-DEMO_CAD-2024-09-01.csv</x:v>
      </x:c>
      <x:c r="L66" s="2" t="n">
        <x:v>6</x:v>
      </x:c>
      <x:c r="M66" s="2" t="str">
        <x:v>BMO - Bank of Montreal: Sold 2.0000 shares (executed at 2024-09-16)</x:v>
      </x:c>
      <x:c r="N66" s="2" t="str">
        <x:v>Imported</x:v>
      </x:c>
      <x:c r="O66" s="17" t="n">
        <x:f>IF(F66="BUY",G66,IF(F66="SELL",-G66,IF(AND(F66="STKREORG",N66="Applied 4-for-1 CDR split"),G66,0)))</x:f>
        <x:v>-2</x:v>
      </x:c>
      <x:c r="P66" s="17" t="n">
        <x:f>SUMIF($E$6:E65,E66,$O$6:O65)</x:f>
        <x:v>2</x:v>
      </x:c>
      <x:c r="Q66" s="18" t="n">
        <x:f>SUMIF($E$6:E65,E66,$S$6:S65)</x:f>
        <x:v>234.09</x:v>
      </x:c>
      <x:c r="R66" s="18" t="n">
        <x:f>IF(P66&gt;0,Q66/P66,0)</x:f>
        <x:v>117.045</x:v>
      </x:c>
      <x:c r="S66" s="18" t="n">
        <x:f>IF(F66="BUY",-H66,IF(F66="SELL",-G66*R66,0))</x:f>
        <x:v>-234.09</x:v>
      </x:c>
      <x:c r="T66" s="18" t="n">
        <x:f>IF(F66="SELL",IF(G66&gt;P66+0.000001,"REVIEW",H66-G66*R66),0)</x:f>
        <x:v>1.210000000000008</x:v>
      </x:c>
      <x:c r="U66" s="17" t="n">
        <x:f>P66+O66</x:f>
        <x:v>0</x:v>
      </x:c>
      <x:c r="V66" s="18" t="n">
        <x:f>Q66+S66</x:f>
        <x:v>0</x:v>
      </x:c>
      <x:c r="W66" s="18" t="n">
        <x:f>IF(F66="DIV",H66,0)</x:f>
        <x:v>0</x:v>
      </x:c>
      <x:c r="X66" s="18" t="n">
        <x:f>IF(F66="CONT",H66,0)</x:f>
        <x:v>0</x:v>
      </x:c>
      <x:c r="Y66" s="2" t="str">
        <x:f>TEXT(C66,"yyyy-mm")</x:f>
        <x:v>2024-09</x:v>
      </x:c>
      <x:c r="Z66" s="2" t="str">
        <x:f>IF(OR(AND(F66="STKREORG",N66&lt;&gt;"Applied 4-for-1 CDR split"),AND(F66="SELL",G66&gt;P66+0.000001)),"REVIEW","OK")</x:f>
        <x:v>OK</x:v>
      </x:c>
    </x:row>
    <x:row r="67" ht="21" customHeight="1">
      <x:c r="A67" s="2"/>
      <x:c r="B67" s="2" t="str">
        <x:v>b15384bf8645f1c4226e</x:v>
      </x:c>
      <x:c r="C67" s="16" t="d">
        <x:v>2024-09-17T00:00:00.000Z</x:v>
      </x:c>
      <x:c r="D67" s="16" t="d">
        <x:v>2024-09-16T00:00:00.000Z</x:v>
      </x:c>
      <x:c r="E67" s="2" t="str">
        <x:v>RY_ORD</x:v>
      </x:c>
      <x:c r="F67" s="2" t="str">
        <x:v>BUY</x:v>
      </x:c>
      <x:c r="G67" s="17" t="n">
        <x:v>1</x:v>
      </x:c>
      <x:c r="H67" s="18" t="n">
        <x:v>-167.38</x:v>
      </x:c>
      <x:c r="I67" s="18" t="str">
        <x:v>CAD</x:v>
      </x:c>
      <x:c r="J67" s="18" t="n">
        <x:v>108.2</x:v>
      </x:c>
      <x:c r="K67" s="2" t="str">
        <x:v>TFSA-monthly-statement-transactions-DEMO_CAD-2024-09-01.csv</x:v>
      </x:c>
      <x:c r="L67" s="2" t="n">
        <x:v>7</x:v>
      </x:c>
      <x:c r="M67" s="2" t="str">
        <x:v>RY - Royal Bank Of Canada: Bought 1.0000 shares (executed at 2024-09-16)</x:v>
      </x:c>
      <x:c r="N67" s="2" t="str">
        <x:v>Imported</x:v>
      </x:c>
      <x:c r="O67" s="17" t="n">
        <x:f>IF(F67="BUY",G67,IF(F67="SELL",-G67,IF(AND(F67="STKREORG",N67="Applied 4-for-1 CDR split"),G67,0)))</x:f>
        <x:v>1</x:v>
      </x:c>
      <x:c r="P67" s="17" t="n">
        <x:f>SUMIF($E$6:E66,E67,$O$6:O66)</x:f>
        <x:v>0</x:v>
      </x:c>
      <x:c r="Q67" s="18" t="n">
        <x:f>SUMIF($E$6:E66,E67,$S$6:S66)</x:f>
        <x:v>0</x:v>
      </x:c>
      <x:c r="R67" s="18" t="n">
        <x:f>IF(P67&gt;0,Q67/P67,0)</x:f>
        <x:v>0</x:v>
      </x:c>
      <x:c r="S67" s="18" t="n">
        <x:f>IF(F67="BUY",-H67,IF(F67="SELL",-G67*R67,0))</x:f>
        <x:v>167.38</x:v>
      </x:c>
      <x:c r="T67" s="18" t="n">
        <x:f>IF(F67="SELL",IF(G67&gt;P67+0.000001,"REVIEW",H67-G67*R67),0)</x:f>
        <x:v>0</x:v>
      </x:c>
      <x:c r="U67" s="17" t="n">
        <x:f>P67+O67</x:f>
        <x:v>1</x:v>
      </x:c>
      <x:c r="V67" s="18" t="n">
        <x:f>Q67+S67</x:f>
        <x:v>167.38</x:v>
      </x:c>
      <x:c r="W67" s="18" t="n">
        <x:f>IF(F67="DIV",H67,0)</x:f>
        <x:v>0</x:v>
      </x:c>
      <x:c r="X67" s="18" t="n">
        <x:f>IF(F67="CONT",H67,0)</x:f>
        <x:v>0</x:v>
      </x:c>
      <x:c r="Y67" s="2" t="str">
        <x:f>TEXT(C67,"yyyy-mm")</x:f>
        <x:v>2024-09</x:v>
      </x:c>
      <x:c r="Z67" s="2" t="str">
        <x:f>IF(OR(AND(F67="STKREORG",N67&lt;&gt;"Applied 4-for-1 CDR split"),AND(F67="SELL",G67&gt;P67+0.000001)),"REVIEW","OK")</x:f>
        <x:v>OK</x:v>
      </x:c>
    </x:row>
    <x:row r="68" ht="21" customHeight="1">
      <x:c r="A68" s="2"/>
      <x:c r="B68" s="2" t="str">
        <x:v>aeb861d4301f7f328276</x:v>
      </x:c>
      <x:c r="C68" s="16" t="d">
        <x:v>2024-09-18T00:00:00.000Z</x:v>
      </x:c>
      <x:c r="D68" s="16" t="d">
        <x:v>2024-09-17T00:00:00.000Z</x:v>
      </x:c>
      <x:c r="E68" s="2" t="str">
        <x:v>VDY_ORD</x:v>
      </x:c>
      <x:c r="F68" s="2" t="str">
        <x:v>BUY</x:v>
      </x:c>
      <x:c r="G68" s="17" t="n">
        <x:v>2</x:v>
      </x:c>
      <x:c r="H68" s="18" t="n">
        <x:v>-95.66</x:v>
      </x:c>
      <x:c r="I68" s="18" t="str">
        <x:v>CAD</x:v>
      </x:c>
      <x:c r="J68" s="18" t="n">
        <x:v>12.54</x:v>
      </x:c>
      <x:c r="K68" s="2" t="str">
        <x:v>TFSA-monthly-statement-transactions-DEMO_CAD-2024-09-01.csv</x:v>
      </x:c>
      <x:c r="L68" s="2" t="n">
        <x:v>8</x:v>
      </x:c>
      <x:c r="M68" s="2" t="str">
        <x:v>VDY - Vanguard FTSE Canadian High Dividend Yield Index ETF: Bought 2.0000 shares (executed at 2024-09-17)</x:v>
      </x:c>
      <x:c r="N68" s="2" t="str">
        <x:v>Imported</x:v>
      </x:c>
      <x:c r="O68" s="17" t="n">
        <x:f>IF(F68="BUY",G68,IF(F68="SELL",-G68,IF(AND(F68="STKREORG",N68="Applied 4-for-1 CDR split"),G68,0)))</x:f>
        <x:v>2</x:v>
      </x:c>
      <x:c r="P68" s="17" t="n">
        <x:f>SUMIF($E$6:E67,E68,$O$6:O67)</x:f>
        <x:v>26.997</x:v>
      </x:c>
      <x:c r="Q68" s="18" t="n">
        <x:f>SUMIF($E$6:E67,E68,$S$6:S67)</x:f>
        <x:v>1262.0900000000001</x:v>
      </x:c>
      <x:c r="R68" s="18" t="n">
        <x:f>IF(P68&gt;0,Q68/P68,0)</x:f>
        <x:v>46.74926843723377</x:v>
      </x:c>
      <x:c r="S68" s="18" t="n">
        <x:f>IF(F68="BUY",-H68,IF(F68="SELL",-G68*R68,0))</x:f>
        <x:v>95.66</x:v>
      </x:c>
      <x:c r="T68" s="18" t="n">
        <x:f>IF(F68="SELL",IF(G68&gt;P68+0.000001,"REVIEW",H68-G68*R68),0)</x:f>
        <x:v>0</x:v>
      </x:c>
      <x:c r="U68" s="17" t="n">
        <x:f>P68+O68</x:f>
        <x:v>28.997</x:v>
      </x:c>
      <x:c r="V68" s="18" t="n">
        <x:f>Q68+S68</x:f>
        <x:v>1357.7500000000002</x:v>
      </x:c>
      <x:c r="W68" s="18" t="n">
        <x:f>IF(F68="DIV",H68,0)</x:f>
        <x:v>0</x:v>
      </x:c>
      <x:c r="X68" s="18" t="n">
        <x:f>IF(F68="CONT",H68,0)</x:f>
        <x:v>0</x:v>
      </x:c>
      <x:c r="Y68" s="2" t="str">
        <x:f>TEXT(C68,"yyyy-mm")</x:f>
        <x:v>2024-09</x:v>
      </x:c>
      <x:c r="Z68" s="2" t="str">
        <x:f>IF(OR(AND(F68="STKREORG",N68&lt;&gt;"Applied 4-for-1 CDR split"),AND(F68="SELL",G68&gt;P68+0.000001)),"REVIEW","OK")</x:f>
        <x:v>OK</x:v>
      </x:c>
    </x:row>
    <x:row r="69" ht="21" customHeight="1">
      <x:c r="A69" s="2"/>
      <x:c r="B69" s="2" t="str">
        <x:v>6c3d5678aea0970f8bd2</x:v>
      </x:c>
      <x:c r="C69" s="16" t="d">
        <x:v>2024-09-23T00:00:00.000Z</x:v>
      </x:c>
      <x:c r="D69" s="16" t="d">
        <x:v>2024-09-20T00:00:00.000Z</x:v>
      </x:c>
      <x:c r="E69" s="2" t="str">
        <x:v>AAPL_CDR</x:v>
      </x:c>
      <x:c r="F69" s="2" t="str">
        <x:v>SELL</x:v>
      </x:c>
      <x:c r="G69" s="17" t="n">
        <x:v>3</x:v>
      </x:c>
      <x:c r="H69" s="18" t="n">
        <x:v>102.06</x:v>
      </x:c>
      <x:c r="I69" s="18" t="str">
        <x:v>CAD</x:v>
      </x:c>
      <x:c r="J69" s="18" t="n">
        <x:v>114.6</x:v>
      </x:c>
      <x:c r="K69" s="2" t="str">
        <x:v>TFSA-monthly-statement-transactions-DEMO_CAD-2024-09-01.csv</x:v>
      </x:c>
      <x:c r="L69" s="2" t="n">
        <x:v>9</x:v>
      </x:c>
      <x:c r="M69" s="2" t="str">
        <x:v>AAPL - Apple CDR (CAD Hedged) : Sold 3.0000 shares (executed at 2024-09-20)</x:v>
      </x:c>
      <x:c r="N69" s="2" t="str">
        <x:v>Imported</x:v>
      </x:c>
      <x:c r="O69" s="17" t="n">
        <x:f>IF(F69="BUY",G69,IF(F69="SELL",-G69,IF(AND(F69="STKREORG",N69="Applied 4-for-1 CDR split"),G69,0)))</x:f>
        <x:v>-3</x:v>
      </x:c>
      <x:c r="P69" s="17" t="n">
        <x:f>SUMIF($E$6:E68,E69,$O$6:O68)</x:f>
        <x:v>3</x:v>
      </x:c>
      <x:c r="Q69" s="18" t="n">
        <x:f>SUMIF($E$6:E68,E69,$S$6:S68)</x:f>
        <x:v>101.27</x:v>
      </x:c>
      <x:c r="R69" s="18" t="n">
        <x:f>IF(P69&gt;0,Q69/P69,0)</x:f>
        <x:v>33.75666666666667</x:v>
      </x:c>
      <x:c r="S69" s="18" t="n">
        <x:f>IF(F69="BUY",-H69,IF(F69="SELL",-G69*R69,0))</x:f>
        <x:v>-101.27000000000001</x:v>
      </x:c>
      <x:c r="T69" s="18" t="n">
        <x:f>IF(F69="SELL",IF(G69&gt;P69+0.000001,"REVIEW",H69-G69*R69),0)</x:f>
        <x:v>0.789999999999992</x:v>
      </x:c>
      <x:c r="U69" s="17" t="n">
        <x:f>P69+O69</x:f>
        <x:v>0</x:v>
      </x:c>
      <x:c r="V69" s="18" t="n">
        <x:f>Q69+S69</x:f>
        <x:v>-1.4210854715202004e-14</x:v>
      </x:c>
      <x:c r="W69" s="18" t="n">
        <x:f>IF(F69="DIV",H69,0)</x:f>
        <x:v>0</x:v>
      </x:c>
      <x:c r="X69" s="18" t="n">
        <x:f>IF(F69="CONT",H69,0)</x:f>
        <x:v>0</x:v>
      </x:c>
      <x:c r="Y69" s="2" t="str">
        <x:f>TEXT(C69,"yyyy-mm")</x:f>
        <x:v>2024-09</x:v>
      </x:c>
      <x:c r="Z69" s="2" t="str">
        <x:f>IF(OR(AND(F69="STKREORG",N69&lt;&gt;"Applied 4-for-1 CDR split"),AND(F69="SELL",G69&gt;P69+0.000001)),"REVIEW","OK")</x:f>
        <x:v>OK</x:v>
      </x:c>
    </x:row>
    <x:row r="70" ht="21" customHeight="1">
      <x:c r="A70" s="2"/>
      <x:c r="B70" s="2" t="str">
        <x:v>e063040bdcfd1d7eedad</x:v>
      </x:c>
      <x:c r="C70" s="16" t="d">
        <x:v>2024-09-23T00:00:00.000Z</x:v>
      </x:c>
      <x:c r="D70" s="16" t="d">
        <x:v>2024-09-20T00:00:00.000Z</x:v>
      </x:c>
      <x:c r="E70" s="2" t="str">
        <x:v>CASH_ORD</x:v>
      </x:c>
      <x:c r="F70" s="2" t="str">
        <x:v>SELL</x:v>
      </x:c>
      <x:c r="G70" s="17" t="n">
        <x:v>28</x:v>
      </x:c>
      <x:c r="H70" s="18" t="n">
        <x:v>1403.36</x:v>
      </x:c>
      <x:c r="I70" s="18" t="str">
        <x:v>CAD</x:v>
      </x:c>
      <x:c r="J70" s="18" t="n">
        <x:v>1517.96</x:v>
      </x:c>
      <x:c r="K70" s="2" t="str">
        <x:v>TFSA-monthly-statement-transactions-DEMO_CAD-2024-09-01.csv</x:v>
      </x:c>
      <x:c r="L70" s="2" t="n">
        <x:v>10</x:v>
      </x:c>
      <x:c r="M70" s="2" t="str">
        <x:v>CASH - Global X High Interest Savings ETF: Sold 28.0000 shares (executed at 2024-09-20)</x:v>
      </x:c>
      <x:c r="N70" s="2" t="str">
        <x:v>Imported</x:v>
      </x:c>
      <x:c r="O70" s="17" t="n">
        <x:f>IF(F70="BUY",G70,IF(F70="SELL",-G70,IF(AND(F70="STKREORG",N70="Applied 4-for-1 CDR split"),G70,0)))</x:f>
        <x:v>-28</x:v>
      </x:c>
      <x:c r="P70" s="17" t="n">
        <x:f>SUMIF($E$6:E69,E70,$O$6:O69)</x:f>
        <x:v>28.0336</x:v>
      </x:c>
      <x:c r="Q70" s="18" t="n">
        <x:f>SUMIF($E$6:E69,E70,$S$6:S69)</x:f>
        <x:v>1402.85</x:v>
      </x:c>
      <x:c r="R70" s="18" t="n">
        <x:f>IF(P70&gt;0,Q70/P70,0)</x:f>
        <x:v>50.04173563152788</x:v>
      </x:c>
      <x:c r="S70" s="18" t="n">
        <x:f>IF(F70="BUY",-H70,IF(F70="SELL",-G70*R70,0))</x:f>
        <x:v>-1401.1685976827805</x:v>
      </x:c>
      <x:c r="T70" s="18" t="n">
        <x:f>IF(F70="SELL",IF(G70&gt;P70+0.000001,"REVIEW",H70-G70*R70),0)</x:f>
        <x:v>2.1914023172193993</x:v>
      </x:c>
      <x:c r="U70" s="17" t="n">
        <x:f>P70+O70</x:f>
        <x:v>0.03359999999999985</x:v>
      </x:c>
      <x:c r="V70" s="18" t="n">
        <x:f>Q70+S70</x:f>
        <x:v>1.6814023172194084</x:v>
      </x:c>
      <x:c r="W70" s="18" t="n">
        <x:f>IF(F70="DIV",H70,0)</x:f>
        <x:v>0</x:v>
      </x:c>
      <x:c r="X70" s="18" t="n">
        <x:f>IF(F70="CONT",H70,0)</x:f>
        <x:v>0</x:v>
      </x:c>
      <x:c r="Y70" s="2" t="str">
        <x:f>TEXT(C70,"yyyy-mm")</x:f>
        <x:v>2024-09</x:v>
      </x:c>
      <x:c r="Z70" s="2" t="str">
        <x:f>IF(OR(AND(F70="STKREORG",N70&lt;&gt;"Applied 4-for-1 CDR split"),AND(F70="SELL",G70&gt;P70+0.000001)),"REVIEW","OK")</x:f>
        <x:v>OK</x:v>
      </x:c>
    </x:row>
    <x:row r="71" ht="21" customHeight="1">
      <x:c r="A71" s="2"/>
      <x:c r="B71" s="2" t="str">
        <x:v>2448e6e06c083195b004</x:v>
      </x:c>
      <x:c r="C71" s="16" t="d">
        <x:v>2024-09-23T00:00:00.000Z</x:v>
      </x:c>
      <x:c r="D71" s="16" t="d">
        <x:v>2024-09-20T00:00:00.000Z</x:v>
      </x:c>
      <x:c r="E71" s="2" t="str">
        <x:v>VDY_ORD</x:v>
      </x:c>
      <x:c r="F71" s="2" t="str">
        <x:v>BUY</x:v>
      </x:c>
      <x:c r="G71" s="17" t="n">
        <x:v>10</x:v>
      </x:c>
      <x:c r="H71" s="18" t="n">
        <x:v>-480.8</x:v>
      </x:c>
      <x:c r="I71" s="18" t="str">
        <x:v>CAD</x:v>
      </x:c>
      <x:c r="J71" s="18" t="n">
        <x:v>1037.16</x:v>
      </x:c>
      <x:c r="K71" s="2" t="str">
        <x:v>TFSA-monthly-statement-transactions-DEMO_CAD-2024-09-01.csv</x:v>
      </x:c>
      <x:c r="L71" s="2" t="n">
        <x:v>11</x:v>
      </x:c>
      <x:c r="M71" s="2" t="str">
        <x:v>VDY - Vanguard FTSE Canadian High Dividend Yield Index ETF: Bought 10.0000 shares (executed at 2024-09-20)</x:v>
      </x:c>
      <x:c r="N71" s="2" t="str">
        <x:v>Imported</x:v>
      </x:c>
      <x:c r="O71" s="17" t="n">
        <x:f>IF(F71="BUY",G71,IF(F71="SELL",-G71,IF(AND(F71="STKREORG",N71="Applied 4-for-1 CDR split"),G71,0)))</x:f>
        <x:v>10</x:v>
      </x:c>
      <x:c r="P71" s="17" t="n">
        <x:f>SUMIF($E$6:E70,E71,$O$6:O70)</x:f>
        <x:v>28.997</x:v>
      </x:c>
      <x:c r="Q71" s="18" t="n">
        <x:f>SUMIF($E$6:E70,E71,$S$6:S70)</x:f>
        <x:v>1357.7500000000002</x:v>
      </x:c>
      <x:c r="R71" s="18" t="n">
        <x:f>IF(P71&gt;0,Q71/P71,0)</x:f>
        <x:v>46.82380935958893</x:v>
      </x:c>
      <x:c r="S71" s="18" t="n">
        <x:f>IF(F71="BUY",-H71,IF(F71="SELL",-G71*R71,0))</x:f>
        <x:v>480.8</x:v>
      </x:c>
      <x:c r="T71" s="18" t="n">
        <x:f>IF(F71="SELL",IF(G71&gt;P71+0.000001,"REVIEW",H71-G71*R71),0)</x:f>
        <x:v>0</x:v>
      </x:c>
      <x:c r="U71" s="17" t="n">
        <x:f>P71+O71</x:f>
        <x:v>38.997</x:v>
      </x:c>
      <x:c r="V71" s="18" t="n">
        <x:f>Q71+S71</x:f>
        <x:v>1838.5500000000002</x:v>
      </x:c>
      <x:c r="W71" s="18" t="n">
        <x:f>IF(F71="DIV",H71,0)</x:f>
        <x:v>0</x:v>
      </x:c>
      <x:c r="X71" s="18" t="n">
        <x:f>IF(F71="CONT",H71,0)</x:f>
        <x:v>0</x:v>
      </x:c>
      <x:c r="Y71" s="2" t="str">
        <x:f>TEXT(C71,"yyyy-mm")</x:f>
        <x:v>2024-09</x:v>
      </x:c>
      <x:c r="Z71" s="2" t="str">
        <x:f>IF(OR(AND(F71="STKREORG",N71&lt;&gt;"Applied 4-for-1 CDR split"),AND(F71="SELL",G71&gt;P71+0.000001)),"REVIEW","OK")</x:f>
        <x:v>OK</x:v>
      </x:c>
    </x:row>
    <x:row r="72" ht="21" customHeight="1">
      <x:c r="A72" s="2"/>
      <x:c r="B72" s="2" t="str">
        <x:v>0f88434d6bb9fd9b20a5</x:v>
      </x:c>
      <x:c r="C72" s="16" t="d">
        <x:v>2024-09-23T00:00:00.000Z</x:v>
      </x:c>
      <x:c r="D72" s="16" t="d">
        <x:v>2024-09-20T00:00:00.000Z</x:v>
      </x:c>
      <x:c r="E72" s="2" t="str">
        <x:v>XEQT_ORD</x:v>
      </x:c>
      <x:c r="F72" s="2" t="str">
        <x:v>BUY</x:v>
      </x:c>
      <x:c r="G72" s="17" t="n">
        <x:v>10</x:v>
      </x:c>
      <x:c r="H72" s="18" t="n">
        <x:v>-323</x:v>
      </x:c>
      <x:c r="I72" s="18" t="str">
        <x:v>CAD</x:v>
      </x:c>
      <x:c r="J72" s="18" t="n">
        <x:v>714.16</x:v>
      </x:c>
      <x:c r="K72" s="2" t="str">
        <x:v>TFSA-monthly-statement-transactions-DEMO_CAD-2024-09-01.csv</x:v>
      </x:c>
      <x:c r="L72" s="2" t="n">
        <x:v>12</x:v>
      </x:c>
      <x:c r="M72" s="2" t="str">
        <x:v>XEQT - iShares Core Equity ETF Portfolio: Bought 10.0000 shares (executed at 2024-09-20)</x:v>
      </x:c>
      <x:c r="N72" s="2" t="str">
        <x:v>Imported</x:v>
      </x:c>
      <x:c r="O72" s="17" t="n">
        <x:f>IF(F72="BUY",G72,IF(F72="SELL",-G72,IF(AND(F72="STKREORG",N72="Applied 4-for-1 CDR split"),G72,0)))</x:f>
        <x:v>10</x:v>
      </x:c>
      <x:c r="P72" s="17" t="n">
        <x:f>SUMIF($E$6:E71,E72,$O$6:O71)</x:f>
        <x:v>75.5034</x:v>
      </x:c>
      <x:c r="Q72" s="18" t="n">
        <x:f>SUMIF($E$6:E71,E72,$S$6:S71)</x:f>
        <x:v>2366.6</x:v>
      </x:c>
      <x:c r="R72" s="18" t="n">
        <x:f>IF(P72&gt;0,Q72/P72,0)</x:f>
        <x:v>31.344283833575705</x:v>
      </x:c>
      <x:c r="S72" s="18" t="n">
        <x:f>IF(F72="BUY",-H72,IF(F72="SELL",-G72*R72,0))</x:f>
        <x:v>323</x:v>
      </x:c>
      <x:c r="T72" s="18" t="n">
        <x:f>IF(F72="SELL",IF(G72&gt;P72+0.000001,"REVIEW",H72-G72*R72),0)</x:f>
        <x:v>0</x:v>
      </x:c>
      <x:c r="U72" s="17" t="n">
        <x:f>P72+O72</x:f>
        <x:v>85.5034</x:v>
      </x:c>
      <x:c r="V72" s="18" t="n">
        <x:f>Q72+S72</x:f>
        <x:v>2689.6</x:v>
      </x:c>
      <x:c r="W72" s="18" t="n">
        <x:f>IF(F72="DIV",H72,0)</x:f>
        <x:v>0</x:v>
      </x:c>
      <x:c r="X72" s="18" t="n">
        <x:f>IF(F72="CONT",H72,0)</x:f>
        <x:v>0</x:v>
      </x:c>
      <x:c r="Y72" s="2" t="str">
        <x:f>TEXT(C72,"yyyy-mm")</x:f>
        <x:v>2024-09</x:v>
      </x:c>
      <x:c r="Z72" s="2" t="str">
        <x:f>IF(OR(AND(F72="STKREORG",N72&lt;&gt;"Applied 4-for-1 CDR split"),AND(F72="SELL",G72&gt;P72+0.000001)),"REVIEW","OK")</x:f>
        <x:v>OK</x:v>
      </x:c>
    </x:row>
    <x:row r="73" ht="21" customHeight="1">
      <x:c r="A73" s="2"/>
      <x:c r="B73" s="2" t="str">
        <x:v>a8e08f333d5422b89a9a</x:v>
      </x:c>
      <x:c r="C73" s="16" t="d">
        <x:v>2024-09-23T00:00:00.000Z</x:v>
      </x:c>
      <x:c r="D73" s="16" t="d">
        <x:v>2024-09-20T00:00:00.000Z</x:v>
      </x:c>
      <x:c r="E73" s="2" t="str">
        <x:v>XEQT_ORD</x:v>
      </x:c>
      <x:c r="F73" s="2" t="str">
        <x:v>BUY</x:v>
      </x:c>
      <x:c r="G73" s="17" t="n">
        <x:v>20</x:v>
      </x:c>
      <x:c r="H73" s="18" t="n">
        <x:v>-645.8</x:v>
      </x:c>
      <x:c r="I73" s="18" t="str">
        <x:v>CAD</x:v>
      </x:c>
      <x:c r="J73" s="18" t="n">
        <x:v>68.36</x:v>
      </x:c>
      <x:c r="K73" s="2" t="str">
        <x:v>TFSA-monthly-statement-transactions-DEMO_CAD-2024-09-01.csv</x:v>
      </x:c>
      <x:c r="L73" s="2" t="n">
        <x:v>13</x:v>
      </x:c>
      <x:c r="M73" s="2" t="str">
        <x:v>XEQT - iShares Core Equity ETF Portfolio: Bought 20.0000 shares (executed at 2024-09-20)</x:v>
      </x:c>
      <x:c r="N73" s="2" t="str">
        <x:v>Imported</x:v>
      </x:c>
      <x:c r="O73" s="17" t="n">
        <x:f>IF(F73="BUY",G73,IF(F73="SELL",-G73,IF(AND(F73="STKREORG",N73="Applied 4-for-1 CDR split"),G73,0)))</x:f>
        <x:v>20</x:v>
      </x:c>
      <x:c r="P73" s="17" t="n">
        <x:f>SUMIF($E$6:E72,E73,$O$6:O72)</x:f>
        <x:v>85.5034</x:v>
      </x:c>
      <x:c r="Q73" s="18" t="n">
        <x:f>SUMIF($E$6:E72,E73,$S$6:S72)</x:f>
        <x:v>2689.6</x:v>
      </x:c>
      <x:c r="R73" s="18" t="n">
        <x:f>IF(P73&gt;0,Q73/P73,0)</x:f>
        <x:v>31.456059057300646</x:v>
      </x:c>
      <x:c r="S73" s="18" t="n">
        <x:f>IF(F73="BUY",-H73,IF(F73="SELL",-G73*R73,0))</x:f>
        <x:v>645.8</x:v>
      </x:c>
      <x:c r="T73" s="18" t="n">
        <x:f>IF(F73="SELL",IF(G73&gt;P73+0.000001,"REVIEW",H73-G73*R73),0)</x:f>
        <x:v>0</x:v>
      </x:c>
      <x:c r="U73" s="17" t="n">
        <x:f>P73+O73</x:f>
        <x:v>105.5034</x:v>
      </x:c>
      <x:c r="V73" s="18" t="n">
        <x:f>Q73+S73</x:f>
        <x:v>3335.3999999999996</x:v>
      </x:c>
      <x:c r="W73" s="18" t="n">
        <x:f>IF(F73="DIV",H73,0)</x:f>
        <x:v>0</x:v>
      </x:c>
      <x:c r="X73" s="18" t="n">
        <x:f>IF(F73="CONT",H73,0)</x:f>
        <x:v>0</x:v>
      </x:c>
      <x:c r="Y73" s="2" t="str">
        <x:f>TEXT(C73,"yyyy-mm")</x:f>
        <x:v>2024-09</x:v>
      </x:c>
      <x:c r="Z73" s="2" t="str">
        <x:f>IF(OR(AND(F73="STKREORG",N73&lt;&gt;"Applied 4-for-1 CDR split"),AND(F73="SELL",G73&gt;P73+0.000001)),"REVIEW","OK")</x:f>
        <x:v>OK</x:v>
      </x:c>
    </x:row>
    <x:row r="74" ht="21" customHeight="1">
      <x:c r="A74" s="2"/>
      <x:c r="B74" s="2" t="str">
        <x:v>5f054f8e03197138fe10</x:v>
      </x:c>
      <x:c r="C74" s="16" t="d">
        <x:v>2024-09-23T00:00:00.000Z</x:v>
      </x:c>
      <x:c r="D74" s="16" t="d">
        <x:v>2024-09-20T00:00:00.000Z</x:v>
      </x:c>
      <x:c r="E74" s="2" t="str">
        <x:v>TEC_ORD</x:v>
      </x:c>
      <x:c r="F74" s="2" t="str">
        <x:v>SELL</x:v>
      </x:c>
      <x:c r="G74" s="17" t="n">
        <x:v>4.0795</x:v>
      </x:c>
      <x:c r="H74" s="18" t="n">
        <x:v>162.12</x:v>
      </x:c>
      <x:c r="I74" s="18" t="str">
        <x:v>CAD</x:v>
      </x:c>
      <x:c r="J74" s="18" t="n">
        <x:v>230.48</x:v>
      </x:c>
      <x:c r="K74" s="2" t="str">
        <x:v>TFSA-monthly-statement-transactions-DEMO_CAD-2024-09-01.csv</x:v>
      </x:c>
      <x:c r="L74" s="2" t="n">
        <x:v>14</x:v>
      </x:c>
      <x:c r="M74" s="2" t="str">
        <x:v>TEC - TD Global Tech Leaders Index ETF: Sold 4.0795 shares (executed at 2024-09-20)</x:v>
      </x:c>
      <x:c r="N74" s="2" t="str">
        <x:v>Imported</x:v>
      </x:c>
      <x:c r="O74" s="17" t="n">
        <x:f>IF(F74="BUY",G74,IF(F74="SELL",-G74,IF(AND(F74="STKREORG",N74="Applied 4-for-1 CDR split"),G74,0)))</x:f>
        <x:v>-4.0795</x:v>
      </x:c>
      <x:c r="P74" s="17" t="n">
        <x:f>SUMIF($E$6:E73,E74,$O$6:O73)</x:f>
        <x:v>4.0794999999999995</x:v>
      </x:c>
      <x:c r="Q74" s="18" t="n">
        <x:f>SUMIF($E$6:E73,E74,$S$6:S73)</x:f>
        <x:v>168.57999999999998</x:v>
      </x:c>
      <x:c r="R74" s="18" t="n">
        <x:f>IF(P74&gt;0,Q74/P74,0)</x:f>
        <x:v>41.32369162887609</x:v>
      </x:c>
      <x:c r="S74" s="18" t="n">
        <x:f>IF(F74="BUY",-H74,IF(F74="SELL",-G74*R74,0))</x:f>
        <x:v>-168.58000000000004</x:v>
      </x:c>
      <x:c r="T74" s="18" t="n">
        <x:f>IF(F74="SELL",IF(G74&gt;P74+0.000001,"REVIEW",H74-G74*R74),0)</x:f>
        <x:v>-6.460000000000036</x:v>
      </x:c>
      <x:c r="U74" s="17" t="n">
        <x:f>P74+O74</x:f>
        <x:v>-8.881784197001252e-16</x:v>
      </x:c>
      <x:c r="V74" s="18" t="n">
        <x:f>Q74+S74</x:f>
        <x:v>-5.684341886080802e-14</x:v>
      </x:c>
      <x:c r="W74" s="18" t="n">
        <x:f>IF(F74="DIV",H74,0)</x:f>
        <x:v>0</x:v>
      </x:c>
      <x:c r="X74" s="18" t="n">
        <x:f>IF(F74="CONT",H74,0)</x:f>
        <x:v>0</x:v>
      </x:c>
      <x:c r="Y74" s="2" t="str">
        <x:f>TEXT(C74,"yyyy-mm")</x:f>
        <x:v>2024-09</x:v>
      </x:c>
      <x:c r="Z74" s="2" t="str">
        <x:f>IF(OR(AND(F74="STKREORG",N74&lt;&gt;"Applied 4-for-1 CDR split"),AND(F74="SELL",G74&gt;P74+0.000001)),"REVIEW","OK")</x:f>
        <x:v>OK</x:v>
      </x:c>
    </x:row>
    <x:row r="75" ht="21" customHeight="1">
      <x:c r="A75" s="2"/>
      <x:c r="B75" s="2" t="str">
        <x:v>593b78a69335354dd58c</x:v>
      </x:c>
      <x:c r="C75" s="16" t="d">
        <x:v>2024-09-23T00:00:00.000Z</x:v>
      </x:c>
      <x:c r="D75" s="16" t="d">
        <x:v>2024-09-20T00:00:00.000Z</x:v>
      </x:c>
      <x:c r="E75" s="2" t="str">
        <x:v>CASH_ORD</x:v>
      </x:c>
      <x:c r="F75" s="2" t="str">
        <x:v>SELL</x:v>
      </x:c>
      <x:c r="G75" s="17" t="n">
        <x:v>0.0336</x:v>
      </x:c>
      <x:c r="H75" s="18" t="n">
        <x:v>1.68</x:v>
      </x:c>
      <x:c r="I75" s="18" t="str">
        <x:v>CAD</x:v>
      </x:c>
      <x:c r="J75" s="18" t="n">
        <x:v>232.16</x:v>
      </x:c>
      <x:c r="K75" s="2" t="str">
        <x:v>TFSA-monthly-statement-transactions-DEMO_CAD-2024-09-01.csv</x:v>
      </x:c>
      <x:c r="L75" s="2" t="n">
        <x:v>15</x:v>
      </x:c>
      <x:c r="M75" s="2" t="str">
        <x:v>CASH - Global X High Interest Savings ETF: Sold 0.0336 shares (executed at 2024-09-20)</x:v>
      </x:c>
      <x:c r="N75" s="2" t="str">
        <x:v>Imported</x:v>
      </x:c>
      <x:c r="O75" s="17" t="n">
        <x:f>IF(F75="BUY",G75,IF(F75="SELL",-G75,IF(AND(F75="STKREORG",N75="Applied 4-for-1 CDR split"),G75,0)))</x:f>
        <x:v>-0.0336</x:v>
      </x:c>
      <x:c r="P75" s="17" t="n">
        <x:f>SUMIF($E$6:E74,E75,$O$6:O74)</x:f>
        <x:v>0.03359999999999985</x:v>
      </x:c>
      <x:c r="Q75" s="18" t="n">
        <x:f>SUMIF($E$6:E74,E75,$S$6:S74)</x:f>
        <x:v>1.6814023172194084</x:v>
      </x:c>
      <x:c r="R75" s="18" t="n">
        <x:f>IF(P75&gt;0,Q75/P75,0)</x:f>
        <x:v>50.04173563153023</x:v>
      </x:c>
      <x:c r="S75" s="18" t="n">
        <x:f>IF(F75="BUY",-H75,IF(F75="SELL",-G75*R75,0))</x:f>
        <x:v>-1.6814023172194157</x:v>
      </x:c>
      <x:c r="T75" s="18" t="n">
        <x:f>IF(F75="SELL",IF(G75&gt;P75+0.000001,"REVIEW",H75-G75*R75),0)</x:f>
        <x:v>-0.0014023172194157496</x:v>
      </x:c>
      <x:c r="U75" s="17" t="n">
        <x:f>P75+O75</x:f>
        <x:v>-1.457167719820518e-16</x:v>
      </x:c>
      <x:c r="V75" s="18" t="n">
        <x:f>Q75+S75</x:f>
        <x:v>-7.327471962526033e-15</x:v>
      </x:c>
      <x:c r="W75" s="18" t="n">
        <x:f>IF(F75="DIV",H75,0)</x:f>
        <x:v>0</x:v>
      </x:c>
      <x:c r="X75" s="18" t="n">
        <x:f>IF(F75="CONT",H75,0)</x:f>
        <x:v>0</x:v>
      </x:c>
      <x:c r="Y75" s="2" t="str">
        <x:f>TEXT(C75,"yyyy-mm")</x:f>
        <x:v>2024-09</x:v>
      </x:c>
      <x:c r="Z75" s="2" t="str">
        <x:f>IF(OR(AND(F75="STKREORG",N75&lt;&gt;"Applied 4-for-1 CDR split"),AND(F75="SELL",G75&gt;P75+0.000001)),"REVIEW","OK")</x:f>
        <x:v>OK</x:v>
      </x:c>
    </x:row>
    <x:row r="76" ht="21" customHeight="1">
      <x:c r="A76" s="2"/>
      <x:c r="B76" s="2" t="str">
        <x:v>6fa34537633279b8d113</x:v>
      </x:c>
      <x:c r="C76" s="16" t="d">
        <x:v>2024-09-27T00:00:00.000Z</x:v>
      </x:c>
      <x:c r="D76" s="16" t="d">
        <x:v>2024-09-26T00:00:00.000Z</x:v>
      </x:c>
      <x:c r="E76" s="2" t="str">
        <x:v>ENB_ORD</x:v>
      </x:c>
      <x:c r="F76" s="2" t="str">
        <x:v>BUY</x:v>
      </x:c>
      <x:c r="G76" s="17" t="n">
        <x:v>1</x:v>
      </x:c>
      <x:c r="H76" s="18" t="n">
        <x:v>-55.01</x:v>
      </x:c>
      <x:c r="I76" s="18" t="str">
        <x:v>CAD</x:v>
      </x:c>
      <x:c r="J76" s="18" t="n">
        <x:v>177.15</x:v>
      </x:c>
      <x:c r="K76" s="2" t="str">
        <x:v>TFSA-monthly-statement-transactions-DEMO_CAD-2024-09-01.csv</x:v>
      </x:c>
      <x:c r="L76" s="2" t="n">
        <x:v>16</x:v>
      </x:c>
      <x:c r="M76" s="2" t="str">
        <x:v>ENB - Enbridge Inc: Bought 1.0000 shares (executed at 2024-09-26)</x:v>
      </x:c>
      <x:c r="N76" s="2" t="str">
        <x:v>Imported</x:v>
      </x:c>
      <x:c r="O76" s="17" t="n">
        <x:f>IF(F76="BUY",G76,IF(F76="SELL",-G76,IF(AND(F76="STKREORG",N76="Applied 4-for-1 CDR split"),G76,0)))</x:f>
        <x:v>1</x:v>
      </x:c>
      <x:c r="P76" s="17" t="n">
        <x:f>SUMIF($E$6:E75,E76,$O$6:O75)</x:f>
        <x:v>0</x:v>
      </x:c>
      <x:c r="Q76" s="18" t="n">
        <x:f>SUMIF($E$6:E75,E76,$S$6:S75)</x:f>
        <x:v>0</x:v>
      </x:c>
      <x:c r="R76" s="18" t="n">
        <x:f>IF(P76&gt;0,Q76/P76,0)</x:f>
        <x:v>0</x:v>
      </x:c>
      <x:c r="S76" s="18" t="n">
        <x:f>IF(F76="BUY",-H76,IF(F76="SELL",-G76*R76,0))</x:f>
        <x:v>55.01</x:v>
      </x:c>
      <x:c r="T76" s="18" t="n">
        <x:f>IF(F76="SELL",IF(G76&gt;P76+0.000001,"REVIEW",H76-G76*R76),0)</x:f>
        <x:v>0</x:v>
      </x:c>
      <x:c r="U76" s="17" t="n">
        <x:f>P76+O76</x:f>
        <x:v>1</x:v>
      </x:c>
      <x:c r="V76" s="18" t="n">
        <x:f>Q76+S76</x:f>
        <x:v>55.01</x:v>
      </x:c>
      <x:c r="W76" s="18" t="n">
        <x:f>IF(F76="DIV",H76,0)</x:f>
        <x:v>0</x:v>
      </x:c>
      <x:c r="X76" s="18" t="n">
        <x:f>IF(F76="CONT",H76,0)</x:f>
        <x:v>0</x:v>
      </x:c>
      <x:c r="Y76" s="2" t="str">
        <x:f>TEXT(C76,"yyyy-mm")</x:f>
        <x:v>2024-09</x:v>
      </x:c>
      <x:c r="Z76" s="2" t="str">
        <x:f>IF(OR(AND(F76="STKREORG",N76&lt;&gt;"Applied 4-for-1 CDR split"),AND(F76="SELL",G76&gt;P76+0.000001)),"REVIEW","OK")</x:f>
        <x:v>OK</x:v>
      </x:c>
    </x:row>
    <x:row r="77" ht="21" customHeight="1">
      <x:c r="A77" s="2"/>
      <x:c r="B77" s="2" t="str">
        <x:v>a91fc91c11c8c1c639c1</x:v>
      </x:c>
      <x:c r="C77" s="16" t="d">
        <x:v>2024-09-27T00:00:00.000Z</x:v>
      </x:c>
      <x:c r="D77" s="16" t="d">
        <x:v>2024-09-27T00:00:00.000Z</x:v>
      </x:c>
      <x:c r="E77" s="2" t="str">
        <x:v>XEQT_ORD</x:v>
      </x:c>
      <x:c r="F77" s="2" t="str">
        <x:v>DIV</x:v>
      </x:c>
      <x:c r="G77" s="17" t="n">
        <x:v>0</x:v>
      </x:c>
      <x:c r="H77" s="18" t="n">
        <x:v>9.92</x:v>
      </x:c>
      <x:c r="I77" s="18" t="str">
        <x:v>CAD</x:v>
      </x:c>
      <x:c r="J77" s="18" t="n">
        <x:v>187.07</x:v>
      </x:c>
      <x:c r="K77" s="2" t="str">
        <x:v>TFSA-monthly-statement-transactions-DEMO_CAD-2024-09-01.csv</x:v>
      </x:c>
      <x:c r="L77" s="2" t="n">
        <x:v>17</x:v>
      </x:c>
      <x:c r="M77" s="2" t="str">
        <x:v>XEQT - iShares Core Equity ETF Portfolio: Cash dividend distribution, received at 2024-09-27</x:v>
      </x:c>
      <x:c r="N77" s="2" t="str">
        <x:v>Imported</x:v>
      </x:c>
      <x:c r="O77" s="17" t="n">
        <x:f>IF(F77="BUY",G77,IF(F77="SELL",-G77,IF(AND(F77="STKREORG",N77="Applied 4-for-1 CDR split"),G77,0)))</x:f>
        <x:v>0</x:v>
      </x:c>
      <x:c r="P77" s="17" t="n">
        <x:f>SUMIF($E$6:E76,E77,$O$6:O76)</x:f>
        <x:v>105.5034</x:v>
      </x:c>
      <x:c r="Q77" s="18" t="n">
        <x:f>SUMIF($E$6:E76,E77,$S$6:S76)</x:f>
        <x:v>3335.3999999999996</x:v>
      </x:c>
      <x:c r="R77" s="18" t="n">
        <x:f>IF(P77&gt;0,Q77/P77,0)</x:f>
        <x:v>31.61414703222834</x:v>
      </x:c>
      <x:c r="S77" s="18" t="n">
        <x:f>IF(F77="BUY",-H77,IF(F77="SELL",-G77*R77,0))</x:f>
        <x:v>0</x:v>
      </x:c>
      <x:c r="T77" s="18" t="n">
        <x:f>IF(F77="SELL",IF(G77&gt;P77+0.000001,"REVIEW",H77-G77*R77),0)</x:f>
        <x:v>0</x:v>
      </x:c>
      <x:c r="U77" s="17" t="n">
        <x:f>P77+O77</x:f>
        <x:v>105.5034</x:v>
      </x:c>
      <x:c r="V77" s="18" t="n">
        <x:f>Q77+S77</x:f>
        <x:v>3335.3999999999996</x:v>
      </x:c>
      <x:c r="W77" s="18" t="n">
        <x:f>IF(F77="DIV",H77,0)</x:f>
        <x:v>9.92</x:v>
      </x:c>
      <x:c r="X77" s="18" t="n">
        <x:f>IF(F77="CONT",H77,0)</x:f>
        <x:v>0</x:v>
      </x:c>
      <x:c r="Y77" s="2" t="str">
        <x:f>TEXT(C77,"yyyy-mm")</x:f>
        <x:v>2024-09</x:v>
      </x:c>
      <x:c r="Z77" s="2" t="str">
        <x:f>IF(OR(AND(F77="STKREORG",N77&lt;&gt;"Applied 4-for-1 CDR split"),AND(F77="SELL",G77&gt;P77+0.000001)),"REVIEW","OK")</x:f>
        <x:v>OK</x:v>
      </x:c>
    </x:row>
    <x:row r="78" ht="21" customHeight="1">
      <x:c r="A78" s="2"/>
      <x:c r="B78" s="2" t="str">
        <x:v>69556f21c4f3e1a059b0</x:v>
      </x:c>
      <x:c r="C78" s="16" t="d">
        <x:v>2024-09-30T00:00:00.000Z</x:v>
      </x:c>
      <x:c r="D78" s="16" t="d">
        <x:v>2024-09-30T00:00:00.000Z</x:v>
      </x:c>
      <x:c r="E78" s="2" t="str"/>
      <x:c r="F78" s="2" t="str">
        <x:v>CONT</x:v>
      </x:c>
      <x:c r="G78" s="17" t="n">
        <x:v>0</x:v>
      </x:c>
      <x:c r="H78" s="18" t="n">
        <x:v>2000</x:v>
      </x:c>
      <x:c r="I78" s="18" t="str">
        <x:v>CAD</x:v>
      </x:c>
      <x:c r="J78" s="18" t="n">
        <x:v>2187.07</x:v>
      </x:c>
      <x:c r="K78" s="2" t="str">
        <x:v>TFSA-monthly-statement-transactions-DEMO_CAD-2024-09-01.csv</x:v>
      </x:c>
      <x:c r="L78" s="2" t="n">
        <x:v>18</x:v>
      </x:c>
      <x:c r="M78" s="2" t="str">
        <x:v>Contribution (executed at 2024-09-30)</x:v>
      </x:c>
      <x:c r="N78" s="2" t="str">
        <x:v>Imported</x:v>
      </x:c>
      <x:c r="O78" s="17" t="n">
        <x:f>IF(F78="BUY",G78,IF(F78="SELL",-G78,IF(AND(F78="STKREORG",N78="Applied 4-for-1 CDR split"),G78,0)))</x:f>
        <x:v>0</x:v>
      </x:c>
      <x:c r="P78" s="17" t="n">
        <x:f>SUMIF($E$6:E77,E78,$O$6:O77)</x:f>
        <x:v>0</x:v>
      </x:c>
      <x:c r="Q78" s="18" t="n">
        <x:f>SUMIF($E$6:E77,E78,$S$6:S77)</x:f>
        <x:v>0</x:v>
      </x:c>
      <x:c r="R78" s="18" t="n">
        <x:f>IF(P78&gt;0,Q78/P78,0)</x:f>
        <x:v>0</x:v>
      </x:c>
      <x:c r="S78" s="18" t="n">
        <x:f>IF(F78="BUY",-H78,IF(F78="SELL",-G78*R78,0))</x:f>
        <x:v>0</x:v>
      </x:c>
      <x:c r="T78" s="18" t="n">
        <x:f>IF(F78="SELL",IF(G78&gt;P78+0.000001,"REVIEW",H78-G78*R78),0)</x:f>
        <x:v>0</x:v>
      </x:c>
      <x:c r="U78" s="17" t="n">
        <x:f>P78+O78</x:f>
        <x:v>0</x:v>
      </x:c>
      <x:c r="V78" s="18" t="n">
        <x:f>Q78+S78</x:f>
        <x:v>0</x:v>
      </x:c>
      <x:c r="W78" s="18" t="n">
        <x:f>IF(F78="DIV",H78,0)</x:f>
        <x:v>0</x:v>
      </x:c>
      <x:c r="X78" s="18" t="n">
        <x:f>IF(F78="CONT",H78,0)</x:f>
        <x:v>2000</x:v>
      </x:c>
      <x:c r="Y78" s="2" t="str">
        <x:f>TEXT(C78,"yyyy-mm")</x:f>
        <x:v>2024-09</x:v>
      </x:c>
      <x:c r="Z78" s="2" t="str">
        <x:f>IF(OR(AND(F78="STKREORG",N78&lt;&gt;"Applied 4-for-1 CDR split"),AND(F78="SELL",G78&gt;P78+0.000001)),"REVIEW","OK")</x:f>
        <x:v>OK</x:v>
      </x:c>
    </x:row>
    <x:row r="79" ht="21" customHeight="1">
      <x:c r="A79" s="2"/>
      <x:c r="B79" s="2" t="str">
        <x:v>e1692cfb31b236521300</x:v>
      </x:c>
      <x:c r="C79" s="16" t="d">
        <x:v>2024-10-04T00:00:00.000Z</x:v>
      </x:c>
      <x:c r="D79" s="16" t="d">
        <x:v>2024-10-03T00:00:00.000Z</x:v>
      </x:c>
      <x:c r="E79" s="2" t="str">
        <x:v>ENB_ORD</x:v>
      </x:c>
      <x:c r="F79" s="2" t="str">
        <x:v>BUY</x:v>
      </x:c>
      <x:c r="G79" s="17" t="n">
        <x:v>2</x:v>
      </x:c>
      <x:c r="H79" s="18" t="n">
        <x:v>-109.96</x:v>
      </x:c>
      <x:c r="I79" s="18" t="str">
        <x:v>CAD</x:v>
      </x:c>
      <x:c r="J79" s="18" t="n">
        <x:v>2077.11</x:v>
      </x:c>
      <x:c r="K79" s="2" t="str">
        <x:v>TFSA-monthly-statement-transactions-DEMO_CAD-2024-10-01.csv</x:v>
      </x:c>
      <x:c r="L79" s="2" t="n">
        <x:v>2</x:v>
      </x:c>
      <x:c r="M79" s="2" t="str">
        <x:v>ENB - Enbridge Inc: Bought 2.0000 shares (executed at 2024-10-03)</x:v>
      </x:c>
      <x:c r="N79" s="2" t="str">
        <x:v>Imported</x:v>
      </x:c>
      <x:c r="O79" s="17" t="n">
        <x:f>IF(F79="BUY",G79,IF(F79="SELL",-G79,IF(AND(F79="STKREORG",N79="Applied 4-for-1 CDR split"),G79,0)))</x:f>
        <x:v>2</x:v>
      </x:c>
      <x:c r="P79" s="17" t="n">
        <x:f>SUMIF($E$6:E78,E79,$O$6:O78)</x:f>
        <x:v>1</x:v>
      </x:c>
      <x:c r="Q79" s="18" t="n">
        <x:f>SUMIF($E$6:E78,E79,$S$6:S78)</x:f>
        <x:v>55.01</x:v>
      </x:c>
      <x:c r="R79" s="18" t="n">
        <x:f>IF(P79&gt;0,Q79/P79,0)</x:f>
        <x:v>55.01</x:v>
      </x:c>
      <x:c r="S79" s="18" t="n">
        <x:f>IF(F79="BUY",-H79,IF(F79="SELL",-G79*R79,0))</x:f>
        <x:v>109.96</x:v>
      </x:c>
      <x:c r="T79" s="18" t="n">
        <x:f>IF(F79="SELL",IF(G79&gt;P79+0.000001,"REVIEW",H79-G79*R79),0)</x:f>
        <x:v>0</x:v>
      </x:c>
      <x:c r="U79" s="17" t="n">
        <x:f>P79+O79</x:f>
        <x:v>3</x:v>
      </x:c>
      <x:c r="V79" s="18" t="n">
        <x:f>Q79+S79</x:f>
        <x:v>164.97</x:v>
      </x:c>
      <x:c r="W79" s="18" t="n">
        <x:f>IF(F79="DIV",H79,0)</x:f>
        <x:v>0</x:v>
      </x:c>
      <x:c r="X79" s="18" t="n">
        <x:f>IF(F79="CONT",H79,0)</x:f>
        <x:v>0</x:v>
      </x:c>
      <x:c r="Y79" s="2" t="str">
        <x:f>TEXT(C79,"yyyy-mm")</x:f>
        <x:v>2024-10</x:v>
      </x:c>
      <x:c r="Z79" s="2" t="str">
        <x:f>IF(OR(AND(F79="STKREORG",N79&lt;&gt;"Applied 4-for-1 CDR split"),AND(F79="SELL",G79&gt;P79+0.000001)),"REVIEW","OK")</x:f>
        <x:v>OK</x:v>
      </x:c>
    </x:row>
    <x:row r="80" ht="21" customHeight="1">
      <x:c r="A80" s="2"/>
      <x:c r="B80" s="2" t="str">
        <x:v>d7d30205bd152224b599</x:v>
      </x:c>
      <x:c r="C80" s="16" t="d">
        <x:v>2024-10-07T00:00:00.000Z</x:v>
      </x:c>
      <x:c r="D80" s="16" t="d">
        <x:v>2024-10-07T00:00:00.000Z</x:v>
      </x:c>
      <x:c r="E80" s="2" t="str">
        <x:v>VDY_ORD</x:v>
      </x:c>
      <x:c r="F80" s="2" t="str">
        <x:v>DIV</x:v>
      </x:c>
      <x:c r="G80" s="17" t="n">
        <x:v>0</x:v>
      </x:c>
      <x:c r="H80" s="18" t="n">
        <x:v>8.25</x:v>
      </x:c>
      <x:c r="I80" s="18" t="str">
        <x:v>CAD</x:v>
      </x:c>
      <x:c r="J80" s="18" t="n">
        <x:v>2085.36</x:v>
      </x:c>
      <x:c r="K80" s="2" t="str">
        <x:v>TFSA-monthly-statement-transactions-DEMO_CAD-2024-10-01.csv</x:v>
      </x:c>
      <x:c r="L80" s="2" t="n">
        <x:v>3</x:v>
      </x:c>
      <x:c r="M80" s="2" t="str">
        <x:v>VDY - Vanguard FTSE Canadian High Dividend Yield Index ETF: Cash dividend distribution, received on 2024-10-07, record date of 2024-09-27</x:v>
      </x:c>
      <x:c r="N80" s="2" t="str">
        <x:v>Imported</x:v>
      </x:c>
      <x:c r="O80" s="17" t="n">
        <x:f>IF(F80="BUY",G80,IF(F80="SELL",-G80,IF(AND(F80="STKREORG",N80="Applied 4-for-1 CDR split"),G80,0)))</x:f>
        <x:v>0</x:v>
      </x:c>
      <x:c r="P80" s="17" t="n">
        <x:f>SUMIF($E$6:E79,E80,$O$6:O79)</x:f>
        <x:v>38.997</x:v>
      </x:c>
      <x:c r="Q80" s="18" t="n">
        <x:f>SUMIF($E$6:E79,E80,$S$6:S79)</x:f>
        <x:v>1838.5500000000002</x:v>
      </x:c>
      <x:c r="R80" s="18" t="n">
        <x:f>IF(P80&gt;0,Q80/P80,0)</x:f>
        <x:v>47.14593430263867</x:v>
      </x:c>
      <x:c r="S80" s="18" t="n">
        <x:f>IF(F80="BUY",-H80,IF(F80="SELL",-G80*R80,0))</x:f>
        <x:v>0</x:v>
      </x:c>
      <x:c r="T80" s="18" t="n">
        <x:f>IF(F80="SELL",IF(G80&gt;P80+0.000001,"REVIEW",H80-G80*R80),0)</x:f>
        <x:v>0</x:v>
      </x:c>
      <x:c r="U80" s="17" t="n">
        <x:f>P80+O80</x:f>
        <x:v>38.997</x:v>
      </x:c>
      <x:c r="V80" s="18" t="n">
        <x:f>Q80+S80</x:f>
        <x:v>1838.5500000000002</x:v>
      </x:c>
      <x:c r="W80" s="18" t="n">
        <x:f>IF(F80="DIV",H80,0)</x:f>
        <x:v>8.25</x:v>
      </x:c>
      <x:c r="X80" s="18" t="n">
        <x:f>IF(F80="CONT",H80,0)</x:f>
        <x:v>0</x:v>
      </x:c>
      <x:c r="Y80" s="2" t="str">
        <x:f>TEXT(C80,"yyyy-mm")</x:f>
        <x:v>2024-10</x:v>
      </x:c>
      <x:c r="Z80" s="2" t="str">
        <x:f>IF(OR(AND(F80="STKREORG",N80&lt;&gt;"Applied 4-for-1 CDR split"),AND(F80="SELL",G80&gt;P80+0.000001)),"REVIEW","OK")</x:f>
        <x:v>OK</x:v>
      </x:c>
    </x:row>
    <x:row r="81" ht="21" customHeight="1">
      <x:c r="A81" s="2"/>
      <x:c r="B81" s="2" t="str">
        <x:v>18f62b8a852484782cec</x:v>
      </x:c>
      <x:c r="C81" s="16" t="d">
        <x:v>2024-10-07T00:00:00.000Z</x:v>
      </x:c>
      <x:c r="D81" s="16" t="d">
        <x:v>2024-10-07T00:00:00.000Z</x:v>
      </x:c>
      <x:c r="E81" s="2" t="str">
        <x:v>VFV_ORD</x:v>
      </x:c>
      <x:c r="F81" s="2" t="str">
        <x:v>DIV</x:v>
      </x:c>
      <x:c r="G81" s="17" t="n">
        <x:v>0</x:v>
      </x:c>
      <x:c r="H81" s="18" t="n">
        <x:v>4.89</x:v>
      </x:c>
      <x:c r="I81" s="18" t="str">
        <x:v>CAD</x:v>
      </x:c>
      <x:c r="J81" s="18" t="n">
        <x:v>2090.25</x:v>
      </x:c>
      <x:c r="K81" s="2" t="str">
        <x:v>TFSA-monthly-statement-transactions-DEMO_CAD-2024-10-01.csv</x:v>
      </x:c>
      <x:c r="L81" s="2" t="n">
        <x:v>4</x:v>
      </x:c>
      <x:c r="M81" s="2" t="str">
        <x:v>VFV - Vanguard S&amp;P 500 Index ETF: Cash dividend distribution, received on 2024-10-07, record date of 2024-09-27</x:v>
      </x:c>
      <x:c r="N81" s="2" t="str">
        <x:v>Imported</x:v>
      </x:c>
      <x:c r="O81" s="17" t="n">
        <x:f>IF(F81="BUY",G81,IF(F81="SELL",-G81,IF(AND(F81="STKREORG",N81="Applied 4-for-1 CDR split"),G81,0)))</x:f>
        <x:v>0</x:v>
      </x:c>
      <x:c r="P81" s="17" t="n">
        <x:f>SUMIF($E$6:E80,E81,$O$6:O80)</x:f>
        <x:v>13.7067</x:v>
      </x:c>
      <x:c r="Q81" s="18" t="n">
        <x:f>SUMIF($E$6:E80,E81,$S$6:S80)</x:f>
        <x:v>1857.9</x:v>
      </x:c>
      <x:c r="R81" s="18" t="n">
        <x:f>IF(P81&gt;0,Q81/P81,0)</x:f>
        <x:v>135.5468493510473</x:v>
      </x:c>
      <x:c r="S81" s="18" t="n">
        <x:f>IF(F81="BUY",-H81,IF(F81="SELL",-G81*R81,0))</x:f>
        <x:v>0</x:v>
      </x:c>
      <x:c r="T81" s="18" t="n">
        <x:f>IF(F81="SELL",IF(G81&gt;P81+0.000001,"REVIEW",H81-G81*R81),0)</x:f>
        <x:v>0</x:v>
      </x:c>
      <x:c r="U81" s="17" t="n">
        <x:f>P81+O81</x:f>
        <x:v>13.7067</x:v>
      </x:c>
      <x:c r="V81" s="18" t="n">
        <x:f>Q81+S81</x:f>
        <x:v>1857.9</x:v>
      </x:c>
      <x:c r="W81" s="18" t="n">
        <x:f>IF(F81="DIV",H81,0)</x:f>
        <x:v>4.89</x:v>
      </x:c>
      <x:c r="X81" s="18" t="n">
        <x:f>IF(F81="CONT",H81,0)</x:f>
        <x:v>0</x:v>
      </x:c>
      <x:c r="Y81" s="2" t="str">
        <x:f>TEXT(C81,"yyyy-mm")</x:f>
        <x:v>2024-10</x:v>
      </x:c>
      <x:c r="Z81" s="2" t="str">
        <x:f>IF(OR(AND(F81="STKREORG",N81&lt;&gt;"Applied 4-for-1 CDR split"),AND(F81="SELL",G81&gt;P81+0.000001)),"REVIEW","OK")</x:f>
        <x:v>OK</x:v>
      </x:c>
    </x:row>
    <x:row r="82" ht="21" customHeight="1">
      <x:c r="A82" s="2"/>
      <x:c r="B82" s="2" t="str">
        <x:v>a2d81b97f6c80b2238f0</x:v>
      </x:c>
      <x:c r="C82" s="16" t="d">
        <x:v>2024-10-08T00:00:00.000Z</x:v>
      </x:c>
      <x:c r="D82" s="16" t="d">
        <x:v>2024-10-07T00:00:00.000Z</x:v>
      </x:c>
      <x:c r="E82" s="2" t="str">
        <x:v>NVDA_CDR</x:v>
      </x:c>
      <x:c r="F82" s="2" t="str">
        <x:v>SELL</x:v>
      </x:c>
      <x:c r="G82" s="17" t="n">
        <x:v>19</x:v>
      </x:c>
      <x:c r="H82" s="18" t="n">
        <x:v>573.99</x:v>
      </x:c>
      <x:c r="I82" s="18" t="str">
        <x:v>CAD</x:v>
      </x:c>
      <x:c r="J82" s="18" t="n">
        <x:v>2664.24</x:v>
      </x:c>
      <x:c r="K82" s="2" t="str">
        <x:v>TFSA-monthly-statement-transactions-DEMO_CAD-2024-10-01.csv</x:v>
      </x:c>
      <x:c r="L82" s="2" t="n">
        <x:v>5</x:v>
      </x:c>
      <x:c r="M82" s="2" t="str">
        <x:v>NVDA - Nvidia Corp: Sold 19.0000 shares (executed at 2024-10-07)</x:v>
      </x:c>
      <x:c r="N82" s="2" t="str">
        <x:v>Imported</x:v>
      </x:c>
      <x:c r="O82" s="17" t="n">
        <x:f>IF(F82="BUY",G82,IF(F82="SELL",-G82,IF(AND(F82="STKREORG",N82="Applied 4-for-1 CDR split"),G82,0)))</x:f>
        <x:v>-19</x:v>
      </x:c>
      <x:c r="P82" s="17" t="n">
        <x:f>SUMIF($E$6:E81,E82,$O$6:O81)</x:f>
        <x:v>19</x:v>
      </x:c>
      <x:c r="Q82" s="18" t="n">
        <x:f>SUMIF($E$6:E81,E82,$S$6:S81)</x:f>
        <x:v>572.97</x:v>
      </x:c>
      <x:c r="R82" s="18" t="n">
        <x:f>IF(P82&gt;0,Q82/P82,0)</x:f>
        <x:v>30.156315789473684</x:v>
      </x:c>
      <x:c r="S82" s="18" t="n">
        <x:f>IF(F82="BUY",-H82,IF(F82="SELL",-G82*R82,0))</x:f>
        <x:v>-572.97</x:v>
      </x:c>
      <x:c r="T82" s="18" t="n">
        <x:f>IF(F82="SELL",IF(G82&gt;P82+0.000001,"REVIEW",H82-G82*R82),0)</x:f>
        <x:v>1.0199999999999818</x:v>
      </x:c>
      <x:c r="U82" s="17" t="n">
        <x:f>P82+O82</x:f>
        <x:v>0</x:v>
      </x:c>
      <x:c r="V82" s="18" t="n">
        <x:f>Q82+S82</x:f>
        <x:v>0</x:v>
      </x:c>
      <x:c r="W82" s="18" t="n">
        <x:f>IF(F82="DIV",H82,0)</x:f>
        <x:v>0</x:v>
      </x:c>
      <x:c r="X82" s="18" t="n">
        <x:f>IF(F82="CONT",H82,0)</x:f>
        <x:v>0</x:v>
      </x:c>
      <x:c r="Y82" s="2" t="str">
        <x:f>TEXT(C82,"yyyy-mm")</x:f>
        <x:v>2024-10</x:v>
      </x:c>
      <x:c r="Z82" s="2" t="str">
        <x:f>IF(OR(AND(F82="STKREORG",N82&lt;&gt;"Applied 4-for-1 CDR split"),AND(F82="SELL",G82&gt;P82+0.000001)),"REVIEW","OK")</x:f>
        <x:v>OK</x:v>
      </x:c>
    </x:row>
    <x:row r="83" ht="21" customHeight="1">
      <x:c r="A83" s="2"/>
      <x:c r="B83" s="2" t="str">
        <x:v>8e953c5987d5212e904e</x:v>
      </x:c>
      <x:c r="C83" s="16" t="d">
        <x:v>2024-10-08T00:00:00.000Z</x:v>
      </x:c>
      <x:c r="D83" s="16" t="d">
        <x:v>2024-10-07T00:00:00.000Z</x:v>
      </x:c>
      <x:c r="E83" s="2" t="str">
        <x:v>XEQT_ORD</x:v>
      </x:c>
      <x:c r="F83" s="2" t="str">
        <x:v>BUY</x:v>
      </x:c>
      <x:c r="G83" s="17" t="n">
        <x:v>20</x:v>
      </x:c>
      <x:c r="H83" s="18" t="n">
        <x:v>-650.8</x:v>
      </x:c>
      <x:c r="I83" s="18" t="str">
        <x:v>CAD</x:v>
      </x:c>
      <x:c r="J83" s="18" t="n">
        <x:v>2013.44</x:v>
      </x:c>
      <x:c r="K83" s="2" t="str">
        <x:v>TFSA-monthly-statement-transactions-DEMO_CAD-2024-10-01.csv</x:v>
      </x:c>
      <x:c r="L83" s="2" t="n">
        <x:v>6</x:v>
      </x:c>
      <x:c r="M83" s="2" t="str">
        <x:v>XEQT - iShares Core Equity ETF Portfolio: Bought 20.0000 shares (executed at 2024-10-07)</x:v>
      </x:c>
      <x:c r="N83" s="2" t="str">
        <x:v>Imported</x:v>
      </x:c>
      <x:c r="O83" s="17" t="n">
        <x:f>IF(F83="BUY",G83,IF(F83="SELL",-G83,IF(AND(F83="STKREORG",N83="Applied 4-for-1 CDR split"),G83,0)))</x:f>
        <x:v>20</x:v>
      </x:c>
      <x:c r="P83" s="17" t="n">
        <x:f>SUMIF($E$6:E82,E83,$O$6:O82)</x:f>
        <x:v>105.5034</x:v>
      </x:c>
      <x:c r="Q83" s="18" t="n">
        <x:f>SUMIF($E$6:E82,E83,$S$6:S82)</x:f>
        <x:v>3335.3999999999996</x:v>
      </x:c>
      <x:c r="R83" s="18" t="n">
        <x:f>IF(P83&gt;0,Q83/P83,0)</x:f>
        <x:v>31.61414703222834</x:v>
      </x:c>
      <x:c r="S83" s="18" t="n">
        <x:f>IF(F83="BUY",-H83,IF(F83="SELL",-G83*R83,0))</x:f>
        <x:v>650.8</x:v>
      </x:c>
      <x:c r="T83" s="18" t="n">
        <x:f>IF(F83="SELL",IF(G83&gt;P83+0.000001,"REVIEW",H83-G83*R83),0)</x:f>
        <x:v>0</x:v>
      </x:c>
      <x:c r="U83" s="17" t="n">
        <x:f>P83+O83</x:f>
        <x:v>125.5034</x:v>
      </x:c>
      <x:c r="V83" s="18" t="n">
        <x:f>Q83+S83</x:f>
        <x:v>3986.2</x:v>
      </x:c>
      <x:c r="W83" s="18" t="n">
        <x:f>IF(F83="DIV",H83,0)</x:f>
        <x:v>0</x:v>
      </x:c>
      <x:c r="X83" s="18" t="n">
        <x:f>IF(F83="CONT",H83,0)</x:f>
        <x:v>0</x:v>
      </x:c>
      <x:c r="Y83" s="2" t="str">
        <x:f>TEXT(C83,"yyyy-mm")</x:f>
        <x:v>2024-10</x:v>
      </x:c>
      <x:c r="Z83" s="2" t="str">
        <x:f>IF(OR(AND(F83="STKREORG",N83&lt;&gt;"Applied 4-for-1 CDR split"),AND(F83="SELL",G83&gt;P83+0.000001)),"REVIEW","OK")</x:f>
        <x:v>OK</x:v>
      </x:c>
    </x:row>
    <x:row r="84" ht="21" customHeight="1">
      <x:c r="A84" s="2"/>
      <x:c r="B84" s="2" t="str">
        <x:v>e7939989c29f22074cd6</x:v>
      </x:c>
      <x:c r="C84" s="16" t="d">
        <x:v>2024-10-08T00:00:00.000Z</x:v>
      </x:c>
      <x:c r="D84" s="16" t="d">
        <x:v>2024-10-07T00:00:00.000Z</x:v>
      </x:c>
      <x:c r="E84" s="2" t="str">
        <x:v>CPX_ORD</x:v>
      </x:c>
      <x:c r="F84" s="2" t="str">
        <x:v>BUY</x:v>
      </x:c>
      <x:c r="G84" s="17" t="n">
        <x:v>2</x:v>
      </x:c>
      <x:c r="H84" s="18" t="n">
        <x:v>-101.06</x:v>
      </x:c>
      <x:c r="I84" s="18" t="str">
        <x:v>CAD</x:v>
      </x:c>
      <x:c r="J84" s="18" t="n">
        <x:v>1912.38</x:v>
      </x:c>
      <x:c r="K84" s="2" t="str">
        <x:v>TFSA-monthly-statement-transactions-DEMO_CAD-2024-10-01.csv</x:v>
      </x:c>
      <x:c r="L84" s="2" t="n">
        <x:v>7</x:v>
      </x:c>
      <x:c r="M84" s="2" t="str">
        <x:v>CPX - Capital Power Corp: Bought 2.0000 shares (executed at 2024-10-07)</x:v>
      </x:c>
      <x:c r="N84" s="2" t="str">
        <x:v>Imported</x:v>
      </x:c>
      <x:c r="O84" s="17" t="n">
        <x:f>IF(F84="BUY",G84,IF(F84="SELL",-G84,IF(AND(F84="STKREORG",N84="Applied 4-for-1 CDR split"),G84,0)))</x:f>
        <x:v>2</x:v>
      </x:c>
      <x:c r="P84" s="17" t="n">
        <x:f>SUMIF($E$6:E83,E84,$O$6:O83)</x:f>
        <x:v>0</x:v>
      </x:c>
      <x:c r="Q84" s="18" t="n">
        <x:f>SUMIF($E$6:E83,E84,$S$6:S83)</x:f>
        <x:v>0</x:v>
      </x:c>
      <x:c r="R84" s="18" t="n">
        <x:f>IF(P84&gt;0,Q84/P84,0)</x:f>
        <x:v>0</x:v>
      </x:c>
      <x:c r="S84" s="18" t="n">
        <x:f>IF(F84="BUY",-H84,IF(F84="SELL",-G84*R84,0))</x:f>
        <x:v>101.06</x:v>
      </x:c>
      <x:c r="T84" s="18" t="n">
        <x:f>IF(F84="SELL",IF(G84&gt;P84+0.000001,"REVIEW",H84-G84*R84),0)</x:f>
        <x:v>0</x:v>
      </x:c>
      <x:c r="U84" s="17" t="n">
        <x:f>P84+O84</x:f>
        <x:v>2</x:v>
      </x:c>
      <x:c r="V84" s="18" t="n">
        <x:f>Q84+S84</x:f>
        <x:v>101.06</x:v>
      </x:c>
      <x:c r="W84" s="18" t="n">
        <x:f>IF(F84="DIV",H84,0)</x:f>
        <x:v>0</x:v>
      </x:c>
      <x:c r="X84" s="18" t="n">
        <x:f>IF(F84="CONT",H84,0)</x:f>
        <x:v>0</x:v>
      </x:c>
      <x:c r="Y84" s="2" t="str">
        <x:f>TEXT(C84,"yyyy-mm")</x:f>
        <x:v>2024-10</x:v>
      </x:c>
      <x:c r="Z84" s="2" t="str">
        <x:f>IF(OR(AND(F84="STKREORG",N84&lt;&gt;"Applied 4-for-1 CDR split"),AND(F84="SELL",G84&gt;P84+0.000001)),"REVIEW","OK")</x:f>
        <x:v>OK</x:v>
      </x:c>
    </x:row>
    <x:row r="85" ht="21" customHeight="1">
      <x:c r="A85" s="2"/>
      <x:c r="B85" s="2" t="str">
        <x:v>7c5fa21899aea2b3e4f5</x:v>
      </x:c>
      <x:c r="C85" s="16" t="d">
        <x:v>2024-10-08T00:00:00.000Z</x:v>
      </x:c>
      <x:c r="D85" s="16" t="d">
        <x:v>2024-10-07T00:00:00.000Z</x:v>
      </x:c>
      <x:c r="E85" s="2" t="str">
        <x:v>XEQT_ORD</x:v>
      </x:c>
      <x:c r="F85" s="2" t="str">
        <x:v>BUY</x:v>
      </x:c>
      <x:c r="G85" s="17" t="n">
        <x:v>15</x:v>
      </x:c>
      <x:c r="H85" s="18" t="n">
        <x:v>-486.75</x:v>
      </x:c>
      <x:c r="I85" s="18" t="str">
        <x:v>CAD</x:v>
      </x:c>
      <x:c r="J85" s="18" t="n">
        <x:v>1425.63</x:v>
      </x:c>
      <x:c r="K85" s="2" t="str">
        <x:v>TFSA-monthly-statement-transactions-DEMO_CAD-2024-10-01.csv</x:v>
      </x:c>
      <x:c r="L85" s="2" t="n">
        <x:v>8</x:v>
      </x:c>
      <x:c r="M85" s="2" t="str">
        <x:v>XEQT - iShares Core Equity ETF Portfolio: Bought 15.0000 shares (executed at 2024-10-07)</x:v>
      </x:c>
      <x:c r="N85" s="2" t="str">
        <x:v>Imported</x:v>
      </x:c>
      <x:c r="O85" s="17" t="n">
        <x:f>IF(F85="BUY",G85,IF(F85="SELL",-G85,IF(AND(F85="STKREORG",N85="Applied 4-for-1 CDR split"),G85,0)))</x:f>
        <x:v>15</x:v>
      </x:c>
      <x:c r="P85" s="17" t="n">
        <x:f>SUMIF($E$6:E84,E85,$O$6:O84)</x:f>
        <x:v>125.5034</x:v>
      </x:c>
      <x:c r="Q85" s="18" t="n">
        <x:f>SUMIF($E$6:E84,E85,$S$6:S84)</x:f>
        <x:v>3986.2</x:v>
      </x:c>
      <x:c r="R85" s="18" t="n">
        <x:f>IF(P85&gt;0,Q85/P85,0)</x:f>
        <x:v>31.76168932475136</x:v>
      </x:c>
      <x:c r="S85" s="18" t="n">
        <x:f>IF(F85="BUY",-H85,IF(F85="SELL",-G85*R85,0))</x:f>
        <x:v>486.75</x:v>
      </x:c>
      <x:c r="T85" s="18" t="n">
        <x:f>IF(F85="SELL",IF(G85&gt;P85+0.000001,"REVIEW",H85-G85*R85),0)</x:f>
        <x:v>0</x:v>
      </x:c>
      <x:c r="U85" s="17" t="n">
        <x:f>P85+O85</x:f>
        <x:v>140.5034</x:v>
      </x:c>
      <x:c r="V85" s="18" t="n">
        <x:f>Q85+S85</x:f>
        <x:v>4472.95</x:v>
      </x:c>
      <x:c r="W85" s="18" t="n">
        <x:f>IF(F85="DIV",H85,0)</x:f>
        <x:v>0</x:v>
      </x:c>
      <x:c r="X85" s="18" t="n">
        <x:f>IF(F85="CONT",H85,0)</x:f>
        <x:v>0</x:v>
      </x:c>
      <x:c r="Y85" s="2" t="str">
        <x:f>TEXT(C85,"yyyy-mm")</x:f>
        <x:v>2024-10</x:v>
      </x:c>
      <x:c r="Z85" s="2" t="str">
        <x:f>IF(OR(AND(F85="STKREORG",N85&lt;&gt;"Applied 4-for-1 CDR split"),AND(F85="SELL",G85&gt;P85+0.000001)),"REVIEW","OK")</x:f>
        <x:v>OK</x:v>
      </x:c>
    </x:row>
    <x:row r="86" ht="21" customHeight="1">
      <x:c r="A86" s="2"/>
      <x:c r="B86" s="2" t="str">
        <x:v>49f2faecf1876c0b56c1</x:v>
      </x:c>
      <x:c r="C86" s="16" t="d">
        <x:v>2024-10-09T00:00:00.000Z</x:v>
      </x:c>
      <x:c r="D86" s="16" t="d">
        <x:v>2024-10-08T00:00:00.000Z</x:v>
      </x:c>
      <x:c r="E86" s="2" t="str">
        <x:v>VDY_ORD</x:v>
      </x:c>
      <x:c r="F86" s="2" t="str">
        <x:v>BUY</x:v>
      </x:c>
      <x:c r="G86" s="17" t="n">
        <x:v>10</x:v>
      </x:c>
      <x:c r="H86" s="18" t="n">
        <x:v>-485.4</x:v>
      </x:c>
      <x:c r="I86" s="18" t="str">
        <x:v>CAD</x:v>
      </x:c>
      <x:c r="J86" s="18" t="n">
        <x:v>940.23</x:v>
      </x:c>
      <x:c r="K86" s="2" t="str">
        <x:v>TFSA-monthly-statement-transactions-DEMO_CAD-2024-10-01.csv</x:v>
      </x:c>
      <x:c r="L86" s="2" t="n">
        <x:v>9</x:v>
      </x:c>
      <x:c r="M86" s="2" t="str">
        <x:v>VDY - Vanguard FTSE Canadian High Dividend Yield Index ETF: Bought 10.0000 shares (executed at 2024-10-08)</x:v>
      </x:c>
      <x:c r="N86" s="2" t="str">
        <x:v>Imported</x:v>
      </x:c>
      <x:c r="O86" s="17" t="n">
        <x:f>IF(F86="BUY",G86,IF(F86="SELL",-G86,IF(AND(F86="STKREORG",N86="Applied 4-for-1 CDR split"),G86,0)))</x:f>
        <x:v>10</x:v>
      </x:c>
      <x:c r="P86" s="17" t="n">
        <x:f>SUMIF($E$6:E85,E86,$O$6:O85)</x:f>
        <x:v>38.997</x:v>
      </x:c>
      <x:c r="Q86" s="18" t="n">
        <x:f>SUMIF($E$6:E85,E86,$S$6:S85)</x:f>
        <x:v>1838.5500000000002</x:v>
      </x:c>
      <x:c r="R86" s="18" t="n">
        <x:f>IF(P86&gt;0,Q86/P86,0)</x:f>
        <x:v>47.14593430263867</x:v>
      </x:c>
      <x:c r="S86" s="18" t="n">
        <x:f>IF(F86="BUY",-H86,IF(F86="SELL",-G86*R86,0))</x:f>
        <x:v>485.4</x:v>
      </x:c>
      <x:c r="T86" s="18" t="n">
        <x:f>IF(F86="SELL",IF(G86&gt;P86+0.000001,"REVIEW",H86-G86*R86),0)</x:f>
        <x:v>0</x:v>
      </x:c>
      <x:c r="U86" s="17" t="n">
        <x:f>P86+O86</x:f>
        <x:v>48.997</x:v>
      </x:c>
      <x:c r="V86" s="18" t="n">
        <x:f>Q86+S86</x:f>
        <x:v>2323.9500000000003</x:v>
      </x:c>
      <x:c r="W86" s="18" t="n">
        <x:f>IF(F86="DIV",H86,0)</x:f>
        <x:v>0</x:v>
      </x:c>
      <x:c r="X86" s="18" t="n">
        <x:f>IF(F86="CONT",H86,0)</x:f>
        <x:v>0</x:v>
      </x:c>
      <x:c r="Y86" s="2" t="str">
        <x:f>TEXT(C86,"yyyy-mm")</x:f>
        <x:v>2024-10</x:v>
      </x:c>
      <x:c r="Z86" s="2" t="str">
        <x:f>IF(OR(AND(F86="STKREORG",N86&lt;&gt;"Applied 4-for-1 CDR split"),AND(F86="SELL",G86&gt;P86+0.000001)),"REVIEW","OK")</x:f>
        <x:v>OK</x:v>
      </x:c>
    </x:row>
    <x:row r="87" ht="21" customHeight="1">
      <x:c r="A87" s="2"/>
      <x:c r="B87" s="2" t="str">
        <x:v>0f2e414fbdfb2be6a22a</x:v>
      </x:c>
      <x:c r="C87" s="16" t="d">
        <x:v>2024-10-09T00:00:00.000Z</x:v>
      </x:c>
      <x:c r="D87" s="16" t="d">
        <x:v>2024-10-08T00:00:00.000Z</x:v>
      </x:c>
      <x:c r="E87" s="2" t="str">
        <x:v>XEI_ORD</x:v>
      </x:c>
      <x:c r="F87" s="2" t="str">
        <x:v>BUY</x:v>
      </x:c>
      <x:c r="G87" s="17" t="n">
        <x:v>5</x:v>
      </x:c>
      <x:c r="H87" s="18" t="n">
        <x:v>-136.65</x:v>
      </x:c>
      <x:c r="I87" s="18" t="str">
        <x:v>CAD</x:v>
      </x:c>
      <x:c r="J87" s="18" t="n">
        <x:v>803.58</x:v>
      </x:c>
      <x:c r="K87" s="2" t="str">
        <x:v>TFSA-monthly-statement-transactions-DEMO_CAD-2024-10-01.csv</x:v>
      </x:c>
      <x:c r="L87" s="2" t="n">
        <x:v>10</x:v>
      </x:c>
      <x:c r="M87" s="2" t="str">
        <x:v>XEI - iShares S&amp;P/TSX Composite High Dividend Income Index ETF: Bought 5.0000 shares (executed at 2024-10-08)</x:v>
      </x:c>
      <x:c r="N87" s="2" t="str">
        <x:v>Imported</x:v>
      </x:c>
      <x:c r="O87" s="17" t="n">
        <x:f>IF(F87="BUY",G87,IF(F87="SELL",-G87,IF(AND(F87="STKREORG",N87="Applied 4-for-1 CDR split"),G87,0)))</x:f>
        <x:v>5</x:v>
      </x:c>
      <x:c r="P87" s="17" t="n">
        <x:f>SUMIF($E$6:E86,E87,$O$6:O86)</x:f>
        <x:v>0</x:v>
      </x:c>
      <x:c r="Q87" s="18" t="n">
        <x:f>SUMIF($E$6:E86,E87,$S$6:S86)</x:f>
        <x:v>0</x:v>
      </x:c>
      <x:c r="R87" s="18" t="n">
        <x:f>IF(P87&gt;0,Q87/P87,0)</x:f>
        <x:v>0</x:v>
      </x:c>
      <x:c r="S87" s="18" t="n">
        <x:f>IF(F87="BUY",-H87,IF(F87="SELL",-G87*R87,0))</x:f>
        <x:v>136.65</x:v>
      </x:c>
      <x:c r="T87" s="18" t="n">
        <x:f>IF(F87="SELL",IF(G87&gt;P87+0.000001,"REVIEW",H87-G87*R87),0)</x:f>
        <x:v>0</x:v>
      </x:c>
      <x:c r="U87" s="17" t="n">
        <x:f>P87+O87</x:f>
        <x:v>5</x:v>
      </x:c>
      <x:c r="V87" s="18" t="n">
        <x:f>Q87+S87</x:f>
        <x:v>136.65</x:v>
      </x:c>
      <x:c r="W87" s="18" t="n">
        <x:f>IF(F87="DIV",H87,0)</x:f>
        <x:v>0</x:v>
      </x:c>
      <x:c r="X87" s="18" t="n">
        <x:f>IF(F87="CONT",H87,0)</x:f>
        <x:v>0</x:v>
      </x:c>
      <x:c r="Y87" s="2" t="str">
        <x:f>TEXT(C87,"yyyy-mm")</x:f>
        <x:v>2024-10</x:v>
      </x:c>
      <x:c r="Z87" s="2" t="str">
        <x:f>IF(OR(AND(F87="STKREORG",N87&lt;&gt;"Applied 4-for-1 CDR split"),AND(F87="SELL",G87&gt;P87+0.000001)),"REVIEW","OK")</x:f>
        <x:v>OK</x:v>
      </x:c>
    </x:row>
    <x:row r="88" ht="21" customHeight="1">
      <x:c r="A88" s="2"/>
      <x:c r="B88" s="2" t="str">
        <x:v>d84c9bc069fe71da1390</x:v>
      </x:c>
      <x:c r="C88" s="16" t="d">
        <x:v>2024-10-10T00:00:00.000Z</x:v>
      </x:c>
      <x:c r="D88" s="16" t="d">
        <x:v>2024-10-10T00:00:00.000Z</x:v>
      </x:c>
      <x:c r="E88" s="2" t="str"/>
      <x:c r="F88" s="2" t="str">
        <x:v>NRT</x:v>
      </x:c>
      <x:c r="G88" s="17" t="n">
        <x:v>0</x:v>
      </x:c>
      <x:c r="H88" s="18" t="n">
        <x:v>-0.01</x:v>
      </x:c>
      <x:c r="I88" s="18" t="str">
        <x:v>CAD</x:v>
      </x:c>
      <x:c r="J88" s="18" t="n">
        <x:v>803.61</x:v>
      </x:c>
      <x:c r="K88" s="2" t="str">
        <x:v>TFSA-monthly-statement-transactions-DEMO_CAD-2024-10-01.csv</x:v>
      </x:c>
      <x:c r="L88" s="2" t="n">
        <x:v>11</x:v>
      </x:c>
      <x:c r="M88" s="2" t="str">
        <x:v>Non-resident tax (executed at 2024-10-10)</x:v>
      </x:c>
      <x:c r="N88" s="2" t="str">
        <x:v>Imported</x:v>
      </x:c>
      <x:c r="O88" s="17" t="n">
        <x:f>IF(F88="BUY",G88,IF(F88="SELL",-G88,IF(AND(F88="STKREORG",N88="Applied 4-for-1 CDR split"),G88,0)))</x:f>
        <x:v>0</x:v>
      </x:c>
      <x:c r="P88" s="17" t="n">
        <x:f>SUMIF($E$6:E87,E88,$O$6:O87)</x:f>
        <x:v>0</x:v>
      </x:c>
      <x:c r="Q88" s="18" t="n">
        <x:f>SUMIF($E$6:E87,E88,$S$6:S87)</x:f>
        <x:v>0</x:v>
      </x:c>
      <x:c r="R88" s="18" t="n">
        <x:f>IF(P88&gt;0,Q88/P88,0)</x:f>
        <x:v>0</x:v>
      </x:c>
      <x:c r="S88" s="18" t="n">
        <x:f>IF(F88="BUY",-H88,IF(F88="SELL",-G88*R88,0))</x:f>
        <x:v>0</x:v>
      </x:c>
      <x:c r="T88" s="18" t="n">
        <x:f>IF(F88="SELL",IF(G88&gt;P88+0.000001,"REVIEW",H88-G88*R88),0)</x:f>
        <x:v>0</x:v>
      </x:c>
      <x:c r="U88" s="17" t="n">
        <x:f>P88+O88</x:f>
        <x:v>0</x:v>
      </x:c>
      <x:c r="V88" s="18" t="n">
        <x:f>Q88+S88</x:f>
        <x:v>0</x:v>
      </x:c>
      <x:c r="W88" s="18" t="n">
        <x:f>IF(F88="DIV",H88,0)</x:f>
        <x:v>0</x:v>
      </x:c>
      <x:c r="X88" s="18" t="n">
        <x:f>IF(F88="CONT",H88,0)</x:f>
        <x:v>0</x:v>
      </x:c>
      <x:c r="Y88" s="2" t="str">
        <x:f>TEXT(C88,"yyyy-mm")</x:f>
        <x:v>2024-10</x:v>
      </x:c>
      <x:c r="Z88" s="2" t="str">
        <x:f>IF(OR(AND(F88="STKREORG",N88&lt;&gt;"Applied 4-for-1 CDR split"),AND(F88="SELL",G88&gt;P88+0.000001)),"REVIEW","OK")</x:f>
        <x:v>OK</x:v>
      </x:c>
    </x:row>
    <x:row r="89" ht="21" customHeight="1">
      <x:c r="A89" s="2"/>
      <x:c r="B89" s="2" t="str">
        <x:v>3f3442ae73ccf63b7eb7</x:v>
      </x:c>
      <x:c r="C89" s="16" t="d">
        <x:v>2024-10-10T00:00:00.000Z</x:v>
      </x:c>
      <x:c r="D89" s="16" t="d">
        <x:v>2024-10-10T00:00:00.000Z</x:v>
      </x:c>
      <x:c r="E89" s="2" t="str">
        <x:v>NVDA_CDR</x:v>
      </x:c>
      <x:c r="F89" s="2" t="str">
        <x:v>DIV</x:v>
      </x:c>
      <x:c r="G89" s="17" t="n">
        <x:v>0</x:v>
      </x:c>
      <x:c r="H89" s="18" t="n">
        <x:v>0.04</x:v>
      </x:c>
      <x:c r="I89" s="18" t="str">
        <x:v>CAD</x:v>
      </x:c>
      <x:c r="J89" s="18" t="n">
        <x:v>803.61</x:v>
      </x:c>
      <x:c r="K89" s="2" t="str">
        <x:v>TFSA-monthly-statement-transactions-DEMO_CAD-2024-10-01.csv</x:v>
      </x:c>
      <x:c r="L89" s="2" t="n">
        <x:v>12</x:v>
      </x:c>
      <x:c r="M89" s="2" t="str">
        <x:v>NVDA - Nvidia Corp: Cash dividend distribution, received on 2024-10-10, record date of 2024-09-12</x:v>
      </x:c>
      <x:c r="N89" s="2" t="str">
        <x:v>Imported</x:v>
      </x:c>
      <x:c r="O89" s="17" t="n">
        <x:f>IF(F89="BUY",G89,IF(F89="SELL",-G89,IF(AND(F89="STKREORG",N89="Applied 4-for-1 CDR split"),G89,0)))</x:f>
        <x:v>0</x:v>
      </x:c>
      <x:c r="P89" s="17" t="n">
        <x:f>SUMIF($E$6:E88,E89,$O$6:O88)</x:f>
        <x:v>0</x:v>
      </x:c>
      <x:c r="Q89" s="18" t="n">
        <x:f>SUMIF($E$6:E88,E89,$S$6:S88)</x:f>
        <x:v>0</x:v>
      </x:c>
      <x:c r="R89" s="18" t="n">
        <x:f>IF(P89&gt;0,Q89/P89,0)</x:f>
        <x:v>0</x:v>
      </x:c>
      <x:c r="S89" s="18" t="n">
        <x:f>IF(F89="BUY",-H89,IF(F89="SELL",-G89*R89,0))</x:f>
        <x:v>0</x:v>
      </x:c>
      <x:c r="T89" s="18" t="n">
        <x:f>IF(F89="SELL",IF(G89&gt;P89+0.000001,"REVIEW",H89-G89*R89),0)</x:f>
        <x:v>0</x:v>
      </x:c>
      <x:c r="U89" s="17" t="n">
        <x:f>P89+O89</x:f>
        <x:v>0</x:v>
      </x:c>
      <x:c r="V89" s="18" t="n">
        <x:f>Q89+S89</x:f>
        <x:v>0</x:v>
      </x:c>
      <x:c r="W89" s="18" t="n">
        <x:f>IF(F89="DIV",H89,0)</x:f>
        <x:v>0.04</x:v>
      </x:c>
      <x:c r="X89" s="18" t="n">
        <x:f>IF(F89="CONT",H89,0)</x:f>
        <x:v>0</x:v>
      </x:c>
      <x:c r="Y89" s="2" t="str">
        <x:f>TEXT(C89,"yyyy-mm")</x:f>
        <x:v>2024-10</x:v>
      </x:c>
      <x:c r="Z89" s="2" t="str">
        <x:f>IF(OR(AND(F89="STKREORG",N89&lt;&gt;"Applied 4-for-1 CDR split"),AND(F89="SELL",G89&gt;P89+0.000001)),"REVIEW","OK")</x:f>
        <x:v>OK</x:v>
      </x:c>
    </x:row>
    <x:row r="90" ht="21" customHeight="1">
      <x:c r="A90" s="2"/>
      <x:c r="B90" s="2" t="str">
        <x:v>1ed45f6cd03f21f7b80e</x:v>
      </x:c>
      <x:c r="C90" s="16" t="d">
        <x:v>2024-10-11T00:00:00.000Z</x:v>
      </x:c>
      <x:c r="D90" s="16" t="d">
        <x:v>2024-10-10T00:00:00.000Z</x:v>
      </x:c>
      <x:c r="E90" s="2" t="str">
        <x:v>TD_ORD</x:v>
      </x:c>
      <x:c r="F90" s="2" t="str">
        <x:v>BUY</x:v>
      </x:c>
      <x:c r="G90" s="17" t="n">
        <x:v>4</x:v>
      </x:c>
      <x:c r="H90" s="18" t="n">
        <x:v>-328.28</x:v>
      </x:c>
      <x:c r="I90" s="18" t="str">
        <x:v>CAD</x:v>
      </x:c>
      <x:c r="J90" s="18" t="n">
        <x:v>475.33</x:v>
      </x:c>
      <x:c r="K90" s="2" t="str">
        <x:v>TFSA-monthly-statement-transactions-DEMO_CAD-2024-10-01.csv</x:v>
      </x:c>
      <x:c r="L90" s="2" t="n">
        <x:v>13</x:v>
      </x:c>
      <x:c r="M90" s="2" t="str">
        <x:v>TD - The Toronto-Dominion Bank: Bought 4.0000 shares (executed at 2024-10-10)</x:v>
      </x:c>
      <x:c r="N90" s="2" t="str">
        <x:v>Imported</x:v>
      </x:c>
      <x:c r="O90" s="17" t="n">
        <x:f>IF(F90="BUY",G90,IF(F90="SELL",-G90,IF(AND(F90="STKREORG",N90="Applied 4-for-1 CDR split"),G90,0)))</x:f>
        <x:v>4</x:v>
      </x:c>
      <x:c r="P90" s="17" t="n">
        <x:f>SUMIF($E$6:E89,E90,$O$6:O89)</x:f>
        <x:v>0</x:v>
      </x:c>
      <x:c r="Q90" s="18" t="n">
        <x:f>SUMIF($E$6:E89,E90,$S$6:S89)</x:f>
        <x:v>0</x:v>
      </x:c>
      <x:c r="R90" s="18" t="n">
        <x:f>IF(P90&gt;0,Q90/P90,0)</x:f>
        <x:v>0</x:v>
      </x:c>
      <x:c r="S90" s="18" t="n">
        <x:f>IF(F90="BUY",-H90,IF(F90="SELL",-G90*R90,0))</x:f>
        <x:v>328.28</x:v>
      </x:c>
      <x:c r="T90" s="18" t="n">
        <x:f>IF(F90="SELL",IF(G90&gt;P90+0.000001,"REVIEW",H90-G90*R90),0)</x:f>
        <x:v>0</x:v>
      </x:c>
      <x:c r="U90" s="17" t="n">
        <x:f>P90+O90</x:f>
        <x:v>4</x:v>
      </x:c>
      <x:c r="V90" s="18" t="n">
        <x:f>Q90+S90</x:f>
        <x:v>328.28</x:v>
      </x:c>
      <x:c r="W90" s="18" t="n">
        <x:f>IF(F90="DIV",H90,0)</x:f>
        <x:v>0</x:v>
      </x:c>
      <x:c r="X90" s="18" t="n">
        <x:f>IF(F90="CONT",H90,0)</x:f>
        <x:v>0</x:v>
      </x:c>
      <x:c r="Y90" s="2" t="str">
        <x:f>TEXT(C90,"yyyy-mm")</x:f>
        <x:v>2024-10</x:v>
      </x:c>
      <x:c r="Z90" s="2" t="str">
        <x:f>IF(OR(AND(F90="STKREORG",N90&lt;&gt;"Applied 4-for-1 CDR split"),AND(F90="SELL",G90&gt;P90+0.000001)),"REVIEW","OK")</x:f>
        <x:v>OK</x:v>
      </x:c>
    </x:row>
    <x:row r="91" ht="21" customHeight="1">
      <x:c r="A91" s="2"/>
      <x:c r="B91" s="2" t="str">
        <x:v>704a43ffc3cbc168beb2</x:v>
      </x:c>
      <x:c r="C91" s="16" t="d">
        <x:v>2024-10-11T00:00:00.000Z</x:v>
      </x:c>
      <x:c r="D91" s="16" t="d">
        <x:v>2024-10-10T00:00:00.000Z</x:v>
      </x:c>
      <x:c r="E91" s="2" t="str">
        <x:v>TD_ORD</x:v>
      </x:c>
      <x:c r="F91" s="2" t="str">
        <x:v>BUY</x:v>
      </x:c>
      <x:c r="G91" s="17" t="n">
        <x:v>2</x:v>
      </x:c>
      <x:c r="H91" s="18" t="n">
        <x:v>-164.06</x:v>
      </x:c>
      <x:c r="I91" s="18" t="str">
        <x:v>CAD</x:v>
      </x:c>
      <x:c r="J91" s="18" t="n">
        <x:v>311.27</x:v>
      </x:c>
      <x:c r="K91" s="2" t="str">
        <x:v>TFSA-monthly-statement-transactions-DEMO_CAD-2024-10-01.csv</x:v>
      </x:c>
      <x:c r="L91" s="2" t="n">
        <x:v>14</x:v>
      </x:c>
      <x:c r="M91" s="2" t="str">
        <x:v>TD - The Toronto-Dominion Bank: Bought 2.0000 shares (executed at 2024-10-10)</x:v>
      </x:c>
      <x:c r="N91" s="2" t="str">
        <x:v>Imported</x:v>
      </x:c>
      <x:c r="O91" s="17" t="n">
        <x:f>IF(F91="BUY",G91,IF(F91="SELL",-G91,IF(AND(F91="STKREORG",N91="Applied 4-for-1 CDR split"),G91,0)))</x:f>
        <x:v>2</x:v>
      </x:c>
      <x:c r="P91" s="17" t="n">
        <x:f>SUMIF($E$6:E90,E91,$O$6:O90)</x:f>
        <x:v>4</x:v>
      </x:c>
      <x:c r="Q91" s="18" t="n">
        <x:f>SUMIF($E$6:E90,E91,$S$6:S90)</x:f>
        <x:v>328.28</x:v>
      </x:c>
      <x:c r="R91" s="18" t="n">
        <x:f>IF(P91&gt;0,Q91/P91,0)</x:f>
        <x:v>82.07</x:v>
      </x:c>
      <x:c r="S91" s="18" t="n">
        <x:f>IF(F91="BUY",-H91,IF(F91="SELL",-G91*R91,0))</x:f>
        <x:v>164.06</x:v>
      </x:c>
      <x:c r="T91" s="18" t="n">
        <x:f>IF(F91="SELL",IF(G91&gt;P91+0.000001,"REVIEW",H91-G91*R91),0)</x:f>
        <x:v>0</x:v>
      </x:c>
      <x:c r="U91" s="17" t="n">
        <x:f>P91+O91</x:f>
        <x:v>6</x:v>
      </x:c>
      <x:c r="V91" s="18" t="n">
        <x:f>Q91+S91</x:f>
        <x:v>492.34</x:v>
      </x:c>
      <x:c r="W91" s="18" t="n">
        <x:f>IF(F91="DIV",H91,0)</x:f>
        <x:v>0</x:v>
      </x:c>
      <x:c r="X91" s="18" t="n">
        <x:f>IF(F91="CONT",H91,0)</x:f>
        <x:v>0</x:v>
      </x:c>
      <x:c r="Y91" s="2" t="str">
        <x:f>TEXT(C91,"yyyy-mm")</x:f>
        <x:v>2024-10</x:v>
      </x:c>
      <x:c r="Z91" s="2" t="str">
        <x:f>IF(OR(AND(F91="STKREORG",N91&lt;&gt;"Applied 4-for-1 CDR split"),AND(F91="SELL",G91&gt;P91+0.000001)),"REVIEW","OK")</x:f>
        <x:v>OK</x:v>
      </x:c>
    </x:row>
    <x:row r="92" ht="21" customHeight="1">
      <x:c r="A92" s="2"/>
      <x:c r="B92" s="2" t="str">
        <x:v>a43d0641c9de2b252c3d</x:v>
      </x:c>
      <x:c r="C92" s="16" t="d">
        <x:v>2024-10-11T00:00:00.000Z</x:v>
      </x:c>
      <x:c r="D92" s="16" t="d">
        <x:v>2024-10-10T00:00:00.000Z</x:v>
      </x:c>
      <x:c r="E92" s="2" t="str">
        <x:v>RY_ORD</x:v>
      </x:c>
      <x:c r="F92" s="2" t="str">
        <x:v>SELL</x:v>
      </x:c>
      <x:c r="G92" s="17" t="n">
        <x:v>1</x:v>
      </x:c>
      <x:c r="H92" s="18" t="n">
        <x:v>167.66</x:v>
      </x:c>
      <x:c r="I92" s="18" t="str">
        <x:v>CAD</x:v>
      </x:c>
      <x:c r="J92" s="18" t="n">
        <x:v>478.93</x:v>
      </x:c>
      <x:c r="K92" s="2" t="str">
        <x:v>TFSA-monthly-statement-transactions-DEMO_CAD-2024-10-01.csv</x:v>
      </x:c>
      <x:c r="L92" s="2" t="n">
        <x:v>15</x:v>
      </x:c>
      <x:c r="M92" s="2" t="str">
        <x:v>RY - Royal Bank Of Canada: Sold 1.0000 shares (executed at 2024-10-10)</x:v>
      </x:c>
      <x:c r="N92" s="2" t="str">
        <x:v>Imported</x:v>
      </x:c>
      <x:c r="O92" s="17" t="n">
        <x:f>IF(F92="BUY",G92,IF(F92="SELL",-G92,IF(AND(F92="STKREORG",N92="Applied 4-for-1 CDR split"),G92,0)))</x:f>
        <x:v>-1</x:v>
      </x:c>
      <x:c r="P92" s="17" t="n">
        <x:f>SUMIF($E$6:E91,E92,$O$6:O91)</x:f>
        <x:v>1</x:v>
      </x:c>
      <x:c r="Q92" s="18" t="n">
        <x:f>SUMIF($E$6:E91,E92,$S$6:S91)</x:f>
        <x:v>167.38</x:v>
      </x:c>
      <x:c r="R92" s="18" t="n">
        <x:f>IF(P92&gt;0,Q92/P92,0)</x:f>
        <x:v>167.38</x:v>
      </x:c>
      <x:c r="S92" s="18" t="n">
        <x:f>IF(F92="BUY",-H92,IF(F92="SELL",-G92*R92,0))</x:f>
        <x:v>-167.38</x:v>
      </x:c>
      <x:c r="T92" s="18" t="n">
        <x:f>IF(F92="SELL",IF(G92&gt;P92+0.000001,"REVIEW",H92-G92*R92),0)</x:f>
        <x:v>0.28000000000000114</x:v>
      </x:c>
      <x:c r="U92" s="17" t="n">
        <x:f>P92+O92</x:f>
        <x:v>0</x:v>
      </x:c>
      <x:c r="V92" s="18" t="n">
        <x:f>Q92+S92</x:f>
        <x:v>0</x:v>
      </x:c>
      <x:c r="W92" s="18" t="n">
        <x:f>IF(F92="DIV",H92,0)</x:f>
        <x:v>0</x:v>
      </x:c>
      <x:c r="X92" s="18" t="n">
        <x:f>IF(F92="CONT",H92,0)</x:f>
        <x:v>0</x:v>
      </x:c>
      <x:c r="Y92" s="2" t="str">
        <x:f>TEXT(C92,"yyyy-mm")</x:f>
        <x:v>2024-10</x:v>
      </x:c>
      <x:c r="Z92" s="2" t="str">
        <x:f>IF(OR(AND(F92="STKREORG",N92&lt;&gt;"Applied 4-for-1 CDR split"),AND(F92="SELL",G92&gt;P92+0.000001)),"REVIEW","OK")</x:f>
        <x:v>OK</x:v>
      </x:c>
    </x:row>
    <x:row r="93" ht="21" customHeight="1">
      <x:c r="A93" s="2"/>
      <x:c r="B93" s="2" t="str">
        <x:v>d709f417d4de7ab0f0e8</x:v>
      </x:c>
      <x:c r="C93" s="16" t="d">
        <x:v>2024-10-22T00:00:00.000Z</x:v>
      </x:c>
      <x:c r="D93" s="16" t="d">
        <x:v>2024-10-21T00:00:00.000Z</x:v>
      </x:c>
      <x:c r="E93" s="2" t="str">
        <x:v>ENB_ORD</x:v>
      </x:c>
      <x:c r="F93" s="2" t="str">
        <x:v>BUY</x:v>
      </x:c>
      <x:c r="G93" s="17" t="n">
        <x:v>3</x:v>
      </x:c>
      <x:c r="H93" s="18" t="n">
        <x:v>-172.47</x:v>
      </x:c>
      <x:c r="I93" s="18" t="str">
        <x:v>CAD</x:v>
      </x:c>
      <x:c r="J93" s="18" t="n">
        <x:v>306.46</x:v>
      </x:c>
      <x:c r="K93" s="2" t="str">
        <x:v>TFSA-monthly-statement-transactions-DEMO_CAD-2024-10-01.csv</x:v>
      </x:c>
      <x:c r="L93" s="2" t="n">
        <x:v>16</x:v>
      </x:c>
      <x:c r="M93" s="2" t="str">
        <x:v>ENB - Enbridge Inc: Bought 3.0000 shares (executed at 2024-10-21)</x:v>
      </x:c>
      <x:c r="N93" s="2" t="str">
        <x:v>Imported</x:v>
      </x:c>
      <x:c r="O93" s="17" t="n">
        <x:f>IF(F93="BUY",G93,IF(F93="SELL",-G93,IF(AND(F93="STKREORG",N93="Applied 4-for-1 CDR split"),G93,0)))</x:f>
        <x:v>3</x:v>
      </x:c>
      <x:c r="P93" s="17" t="n">
        <x:f>SUMIF($E$6:E92,E93,$O$6:O92)</x:f>
        <x:v>3</x:v>
      </x:c>
      <x:c r="Q93" s="18" t="n">
        <x:f>SUMIF($E$6:E92,E93,$S$6:S92)</x:f>
        <x:v>164.97</x:v>
      </x:c>
      <x:c r="R93" s="18" t="n">
        <x:f>IF(P93&gt;0,Q93/P93,0)</x:f>
        <x:v>54.99</x:v>
      </x:c>
      <x:c r="S93" s="18" t="n">
        <x:f>IF(F93="BUY",-H93,IF(F93="SELL",-G93*R93,0))</x:f>
        <x:v>172.47</x:v>
      </x:c>
      <x:c r="T93" s="18" t="n">
        <x:f>IF(F93="SELL",IF(G93&gt;P93+0.000001,"REVIEW",H93-G93*R93),0)</x:f>
        <x:v>0</x:v>
      </x:c>
      <x:c r="U93" s="17" t="n">
        <x:f>P93+O93</x:f>
        <x:v>6</x:v>
      </x:c>
      <x:c r="V93" s="18" t="n">
        <x:f>Q93+S93</x:f>
        <x:v>337.44</x:v>
      </x:c>
      <x:c r="W93" s="18" t="n">
        <x:f>IF(F93="DIV",H93,0)</x:f>
        <x:v>0</x:v>
      </x:c>
      <x:c r="X93" s="18" t="n">
        <x:f>IF(F93="CONT",H93,0)</x:f>
        <x:v>0</x:v>
      </x:c>
      <x:c r="Y93" s="2" t="str">
        <x:f>TEXT(C93,"yyyy-mm")</x:f>
        <x:v>2024-10</x:v>
      </x:c>
      <x:c r="Z93" s="2" t="str">
        <x:f>IF(OR(AND(F93="STKREORG",N93&lt;&gt;"Applied 4-for-1 CDR split"),AND(F93="SELL",G93&gt;P93+0.000001)),"REVIEW","OK")</x:f>
        <x:v>OK</x:v>
      </x:c>
    </x:row>
    <x:row r="94" ht="21" customHeight="1">
      <x:c r="A94" s="2"/>
      <x:c r="B94" s="2" t="str">
        <x:v>0d91f8e97a9403249bbf</x:v>
      </x:c>
      <x:c r="C94" s="16" t="d">
        <x:v>2024-10-22T00:00:00.000Z</x:v>
      </x:c>
      <x:c r="D94" s="16" t="d">
        <x:v>2024-10-21T00:00:00.000Z</x:v>
      </x:c>
      <x:c r="E94" s="2" t="str">
        <x:v>VFV_ORD</x:v>
      </x:c>
      <x:c r="F94" s="2" t="str">
        <x:v>BUY</x:v>
      </x:c>
      <x:c r="G94" s="17" t="n">
        <x:v>2</x:v>
      </x:c>
      <x:c r="H94" s="18" t="n">
        <x:v>-286.2</x:v>
      </x:c>
      <x:c r="I94" s="18" t="str">
        <x:v>CAD</x:v>
      </x:c>
      <x:c r="J94" s="18" t="n">
        <x:v>20.26</x:v>
      </x:c>
      <x:c r="K94" s="2" t="str">
        <x:v>TFSA-monthly-statement-transactions-DEMO_CAD-2024-10-01.csv</x:v>
      </x:c>
      <x:c r="L94" s="2" t="n">
        <x:v>17</x:v>
      </x:c>
      <x:c r="M94" s="2" t="str">
        <x:v>VFV - Vanguard S&amp;P 500 Index ETF: Bought 2.0000 shares (executed at 2024-10-21)</x:v>
      </x:c>
      <x:c r="N94" s="2" t="str">
        <x:v>Imported</x:v>
      </x:c>
      <x:c r="O94" s="17" t="n">
        <x:f>IF(F94="BUY",G94,IF(F94="SELL",-G94,IF(AND(F94="STKREORG",N94="Applied 4-for-1 CDR split"),G94,0)))</x:f>
        <x:v>2</x:v>
      </x:c>
      <x:c r="P94" s="17" t="n">
        <x:f>SUMIF($E$6:E93,E94,$O$6:O93)</x:f>
        <x:v>13.7067</x:v>
      </x:c>
      <x:c r="Q94" s="18" t="n">
        <x:f>SUMIF($E$6:E93,E94,$S$6:S93)</x:f>
        <x:v>1857.9</x:v>
      </x:c>
      <x:c r="R94" s="18" t="n">
        <x:f>IF(P94&gt;0,Q94/P94,0)</x:f>
        <x:v>135.5468493510473</x:v>
      </x:c>
      <x:c r="S94" s="18" t="n">
        <x:f>IF(F94="BUY",-H94,IF(F94="SELL",-G94*R94,0))</x:f>
        <x:v>286.2</x:v>
      </x:c>
      <x:c r="T94" s="18" t="n">
        <x:f>IF(F94="SELL",IF(G94&gt;P94+0.000001,"REVIEW",H94-G94*R94),0)</x:f>
        <x:v>0</x:v>
      </x:c>
      <x:c r="U94" s="17" t="n">
        <x:f>P94+O94</x:f>
        <x:v>15.7067</x:v>
      </x:c>
      <x:c r="V94" s="18" t="n">
        <x:f>Q94+S94</x:f>
        <x:v>2144.1</x:v>
      </x:c>
      <x:c r="W94" s="18" t="n">
        <x:f>IF(F94="DIV",H94,0)</x:f>
        <x:v>0</x:v>
      </x:c>
      <x:c r="X94" s="18" t="n">
        <x:f>IF(F94="CONT",H94,0)</x:f>
        <x:v>0</x:v>
      </x:c>
      <x:c r="Y94" s="2" t="str">
        <x:f>TEXT(C94,"yyyy-mm")</x:f>
        <x:v>2024-10</x:v>
      </x:c>
      <x:c r="Z94" s="2" t="str">
        <x:f>IF(OR(AND(F94="STKREORG",N94&lt;&gt;"Applied 4-for-1 CDR split"),AND(F94="SELL",G94&gt;P94+0.000001)),"REVIEW","OK")</x:f>
        <x:v>OK</x:v>
      </x:c>
    </x:row>
    <x:row r="95" ht="21" customHeight="1">
      <x:c r="A95" s="2"/>
      <x:c r="B95" s="2" t="str">
        <x:v>ce2c5511b80e05f084a7</x:v>
      </x:c>
      <x:c r="C95" s="16" t="d">
        <x:v>2024-10-25T00:00:00.000Z</x:v>
      </x:c>
      <x:c r="D95" s="16" t="d">
        <x:v>2024-10-24T00:00:00.000Z</x:v>
      </x:c>
      <x:c r="E95" s="2" t="str">
        <x:v>VFV_ORD</x:v>
      </x:c>
      <x:c r="F95" s="2" t="str">
        <x:v>BUY</x:v>
      </x:c>
      <x:c r="G95" s="17" t="n">
        <x:v>0.142</x:v>
      </x:c>
      <x:c r="H95" s="18" t="n">
        <x:v>-20.25</x:v>
      </x:c>
      <x:c r="I95" s="18" t="str">
        <x:v>CAD</x:v>
      </x:c>
      <x:c r="J95" s="18" t="n">
        <x:v>0.01</x:v>
      </x:c>
      <x:c r="K95" s="2" t="str">
        <x:v>TFSA-monthly-statement-transactions-DEMO_CAD-2024-10-01.csv</x:v>
      </x:c>
      <x:c r="L95" s="2" t="n">
        <x:v>18</x:v>
      </x:c>
      <x:c r="M95" s="2" t="str">
        <x:v>VFV - Vanguard S&amp;P 500 Index ETF: Bought 0.1420 shares (executed at 2024-10-24)</x:v>
      </x:c>
      <x:c r="N95" s="2" t="str">
        <x:v>Imported</x:v>
      </x:c>
      <x:c r="O95" s="17" t="n">
        <x:f>IF(F95="BUY",G95,IF(F95="SELL",-G95,IF(AND(F95="STKREORG",N95="Applied 4-for-1 CDR split"),G95,0)))</x:f>
        <x:v>0.142</x:v>
      </x:c>
      <x:c r="P95" s="17" t="n">
        <x:f>SUMIF($E$6:E94,E95,$O$6:O94)</x:f>
        <x:v>15.7067</x:v>
      </x:c>
      <x:c r="Q95" s="18" t="n">
        <x:f>SUMIF($E$6:E94,E95,$S$6:S94)</x:f>
        <x:v>2144.1</x:v>
      </x:c>
      <x:c r="R95" s="18" t="n">
        <x:f>IF(P95&gt;0,Q95/P95,0)</x:f>
        <x:v>136.50862370835375</x:v>
      </x:c>
      <x:c r="S95" s="18" t="n">
        <x:f>IF(F95="BUY",-H95,IF(F95="SELL",-G95*R95,0))</x:f>
        <x:v>20.25</x:v>
      </x:c>
      <x:c r="T95" s="18" t="n">
        <x:f>IF(F95="SELL",IF(G95&gt;P95+0.000001,"REVIEW",H95-G95*R95),0)</x:f>
        <x:v>0</x:v>
      </x:c>
      <x:c r="U95" s="17" t="n">
        <x:f>P95+O95</x:f>
        <x:v>15.8487</x:v>
      </x:c>
      <x:c r="V95" s="18" t="n">
        <x:f>Q95+S95</x:f>
        <x:v>2164.35</x:v>
      </x:c>
      <x:c r="W95" s="18" t="n">
        <x:f>IF(F95="DIV",H95,0)</x:f>
        <x:v>0</x:v>
      </x:c>
      <x:c r="X95" s="18" t="n">
        <x:f>IF(F95="CONT",H95,0)</x:f>
        <x:v>0</x:v>
      </x:c>
      <x:c r="Y95" s="2" t="str">
        <x:f>TEXT(C95,"yyyy-mm")</x:f>
        <x:v>2024-10</x:v>
      </x:c>
      <x:c r="Z95" s="2" t="str">
        <x:f>IF(OR(AND(F95="STKREORG",N95&lt;&gt;"Applied 4-for-1 CDR split"),AND(F95="SELL",G95&gt;P95+0.000001)),"REVIEW","OK")</x:f>
        <x:v>OK</x:v>
      </x:c>
    </x:row>
    <x:row r="96" ht="21" customHeight="1">
      <x:c r="A96" s="2"/>
      <x:c r="B96" s="2" t="str">
        <x:v>16d0e1cc809a7fecb601</x:v>
      </x:c>
      <x:c r="C96" s="16" t="d">
        <x:v>2024-10-31T00:00:00.000Z</x:v>
      </x:c>
      <x:c r="D96" s="16" t="d">
        <x:v>2024-10-30T00:00:00.000Z</x:v>
      </x:c>
      <x:c r="E96" s="2" t="str">
        <x:v>VDY_ORD</x:v>
      </x:c>
      <x:c r="F96" s="2" t="str">
        <x:v>BUY</x:v>
      </x:c>
      <x:c r="G96" s="17" t="n">
        <x:v>0.0002</x:v>
      </x:c>
      <x:c r="H96" s="18" t="n">
        <x:v>-0.01</x:v>
      </x:c>
      <x:c r="I96" s="18" t="str">
        <x:v>CAD</x:v>
      </x:c>
      <x:c r="J96" s="18" t="n">
        <x:v>0</x:v>
      </x:c>
      <x:c r="K96" s="2" t="str">
        <x:v>TFSA-monthly-statement-transactions-DEMO_CAD-2024-10-01.csv</x:v>
      </x:c>
      <x:c r="L96" s="2" t="n">
        <x:v>19</x:v>
      </x:c>
      <x:c r="M96" s="2" t="str">
        <x:v>VDY - Vanguard FTSE Canadian High Dividend Yield Index ETF: Bought 0.0002 shares (executed at 2024-10-30)</x:v>
      </x:c>
      <x:c r="N96" s="2" t="str">
        <x:v>Imported</x:v>
      </x:c>
      <x:c r="O96" s="17" t="n">
        <x:f>IF(F96="BUY",G96,IF(F96="SELL",-G96,IF(AND(F96="STKREORG",N96="Applied 4-for-1 CDR split"),G96,0)))</x:f>
        <x:v>0.0002</x:v>
      </x:c>
      <x:c r="P96" s="17" t="n">
        <x:f>SUMIF($E$6:E95,E96,$O$6:O95)</x:f>
        <x:v>48.997</x:v>
      </x:c>
      <x:c r="Q96" s="18" t="n">
        <x:f>SUMIF($E$6:E95,E96,$S$6:S95)</x:f>
        <x:v>2323.9500000000003</x:v>
      </x:c>
      <x:c r="R96" s="18" t="n">
        <x:f>IF(P96&gt;0,Q96/P96,0)</x:f>
        <x:v>47.43045492581179</x:v>
      </x:c>
      <x:c r="S96" s="18" t="n">
        <x:f>IF(F96="BUY",-H96,IF(F96="SELL",-G96*R96,0))</x:f>
        <x:v>0.01</x:v>
      </x:c>
      <x:c r="T96" s="18" t="n">
        <x:f>IF(F96="SELL",IF(G96&gt;P96+0.000001,"REVIEW",H96-G96*R96),0)</x:f>
        <x:v>0</x:v>
      </x:c>
      <x:c r="U96" s="17" t="n">
        <x:f>P96+O96</x:f>
        <x:v>48.9972</x:v>
      </x:c>
      <x:c r="V96" s="18" t="n">
        <x:f>Q96+S96</x:f>
        <x:v>2323.9600000000005</x:v>
      </x:c>
      <x:c r="W96" s="18" t="n">
        <x:f>IF(F96="DIV",H96,0)</x:f>
        <x:v>0</x:v>
      </x:c>
      <x:c r="X96" s="18" t="n">
        <x:f>IF(F96="CONT",H96,0)</x:f>
        <x:v>0</x:v>
      </x:c>
      <x:c r="Y96" s="2" t="str">
        <x:f>TEXT(C96,"yyyy-mm")</x:f>
        <x:v>2024-10</x:v>
      </x:c>
      <x:c r="Z96" s="2" t="str">
        <x:f>IF(OR(AND(F96="STKREORG",N96&lt;&gt;"Applied 4-for-1 CDR split"),AND(F96="SELL",G96&gt;P96+0.000001)),"REVIEW","OK")</x:f>
        <x:v>OK</x:v>
      </x:c>
    </x:row>
    <x:row r="97" ht="21" customHeight="1">
      <x:c r="A97" s="2"/>
      <x:c r="B97" s="2" t="str">
        <x:v>c6d265a8944e0dbf4db6</x:v>
      </x:c>
      <x:c r="C97" s="16" t="d">
        <x:v>2024-10-31T00:00:00.000Z</x:v>
      </x:c>
      <x:c r="D97" s="16" t="d">
        <x:v>2024-10-31T00:00:00.000Z</x:v>
      </x:c>
      <x:c r="E97" s="2" t="str">
        <x:v>XEI_ORD</x:v>
      </x:c>
      <x:c r="F97" s="2" t="str">
        <x:v>DIV</x:v>
      </x:c>
      <x:c r="G97" s="17" t="n">
        <x:v>0</x:v>
      </x:c>
      <x:c r="H97" s="18" t="n">
        <x:v>0.55</x:v>
      </x:c>
      <x:c r="I97" s="18" t="str">
        <x:v>CAD</x:v>
      </x:c>
      <x:c r="J97" s="18" t="n">
        <x:v>0.55</x:v>
      </x:c>
      <x:c r="K97" s="2" t="str">
        <x:v>TFSA-monthly-statement-transactions-DEMO_CAD-2024-10-01.csv</x:v>
      </x:c>
      <x:c r="L97" s="2" t="n">
        <x:v>20</x:v>
      </x:c>
      <x:c r="M97" s="2" t="str">
        <x:v>XEI - iShares S&amp;P/TSX Composite High Dividend Income Index ETF: Cash dividend distribution, received on 2024-10-31, record date of 2024-10-28</x:v>
      </x:c>
      <x:c r="N97" s="2" t="str">
        <x:v>Imported</x:v>
      </x:c>
      <x:c r="O97" s="17" t="n">
        <x:f>IF(F97="BUY",G97,IF(F97="SELL",-G97,IF(AND(F97="STKREORG",N97="Applied 4-for-1 CDR split"),G97,0)))</x:f>
        <x:v>0</x:v>
      </x:c>
      <x:c r="P97" s="17" t="n">
        <x:f>SUMIF($E$6:E96,E97,$O$6:O96)</x:f>
        <x:v>5</x:v>
      </x:c>
      <x:c r="Q97" s="18" t="n">
        <x:f>SUMIF($E$6:E96,E97,$S$6:S96)</x:f>
        <x:v>136.65</x:v>
      </x:c>
      <x:c r="R97" s="18" t="n">
        <x:f>IF(P97&gt;0,Q97/P97,0)</x:f>
        <x:v>27.330000000000002</x:v>
      </x:c>
      <x:c r="S97" s="18" t="n">
        <x:f>IF(F97="BUY",-H97,IF(F97="SELL",-G97*R97,0))</x:f>
        <x:v>0</x:v>
      </x:c>
      <x:c r="T97" s="18" t="n">
        <x:f>IF(F97="SELL",IF(G97&gt;P97+0.000001,"REVIEW",H97-G97*R97),0)</x:f>
        <x:v>0</x:v>
      </x:c>
      <x:c r="U97" s="17" t="n">
        <x:f>P97+O97</x:f>
        <x:v>5</x:v>
      </x:c>
      <x:c r="V97" s="18" t="n">
        <x:f>Q97+S97</x:f>
        <x:v>136.65</x:v>
      </x:c>
      <x:c r="W97" s="18" t="n">
        <x:f>IF(F97="DIV",H97,0)</x:f>
        <x:v>0.55</x:v>
      </x:c>
      <x:c r="X97" s="18" t="n">
        <x:f>IF(F97="CONT",H97,0)</x:f>
        <x:v>0</x:v>
      </x:c>
      <x:c r="Y97" s="2" t="str">
        <x:f>TEXT(C97,"yyyy-mm")</x:f>
        <x:v>2024-10</x:v>
      </x:c>
      <x:c r="Z97" s="2" t="str">
        <x:f>IF(OR(AND(F97="STKREORG",N97&lt;&gt;"Applied 4-for-1 CDR split"),AND(F97="SELL",G97&gt;P97+0.000001)),"REVIEW","OK")</x:f>
        <x:v>OK</x:v>
      </x:c>
    </x:row>
    <x:row r="98" ht="21" customHeight="1">
      <x:c r="A98" s="2"/>
      <x:c r="B98" s="2" t="str">
        <x:v>4806ff47357f127719b8</x:v>
      </x:c>
      <x:c r="C98" s="16" t="d">
        <x:v>2024-11-07T00:00:00.000Z</x:v>
      </x:c>
      <x:c r="D98" s="16" t="d">
        <x:v>2024-11-07T00:00:00.000Z</x:v>
      </x:c>
      <x:c r="E98" s="2" t="str">
        <x:v>VDY_ORD</x:v>
      </x:c>
      <x:c r="F98" s="2" t="str">
        <x:v>DIV</x:v>
      </x:c>
      <x:c r="G98" s="17" t="n">
        <x:v>0</x:v>
      </x:c>
      <x:c r="H98" s="18" t="n">
        <x:v>7.74</x:v>
      </x:c>
      <x:c r="I98" s="18" t="str">
        <x:v>CAD</x:v>
      </x:c>
      <x:c r="J98" s="18" t="n">
        <x:v>8.29</x:v>
      </x:c>
      <x:c r="K98" s="2" t="str">
        <x:v>TFSA-monthly-statement-transactions-DEMO_CAD-2024-11-01 (1).csv</x:v>
      </x:c>
      <x:c r="L98" s="2" t="n">
        <x:v>2</x:v>
      </x:c>
      <x:c r="M98" s="2" t="str">
        <x:v>VDY - Vanguard FTSE Canadian High Dividend Yield Index ETF: Cash dividend distribution, received on 2024-11-07, record date of 2024-10-31</x:v>
      </x:c>
      <x:c r="N98" s="2" t="str">
        <x:v>Imported</x:v>
      </x:c>
      <x:c r="O98" s="17" t="n">
        <x:f>IF(F98="BUY",G98,IF(F98="SELL",-G98,IF(AND(F98="STKREORG",N98="Applied 4-for-1 CDR split"),G98,0)))</x:f>
        <x:v>0</x:v>
      </x:c>
      <x:c r="P98" s="17" t="n">
        <x:f>SUMIF($E$6:E97,E98,$O$6:O97)</x:f>
        <x:v>48.9972</x:v>
      </x:c>
      <x:c r="Q98" s="18" t="n">
        <x:f>SUMIF($E$6:E97,E98,$S$6:S97)</x:f>
        <x:v>2323.9600000000005</x:v>
      </x:c>
      <x:c r="R98" s="18" t="n">
        <x:f>IF(P98&gt;0,Q98/P98,0)</x:f>
        <x:v>47.430465414350216</x:v>
      </x:c>
      <x:c r="S98" s="18" t="n">
        <x:f>IF(F98="BUY",-H98,IF(F98="SELL",-G98*R98,0))</x:f>
        <x:v>0</x:v>
      </x:c>
      <x:c r="T98" s="18" t="n">
        <x:f>IF(F98="SELL",IF(G98&gt;P98+0.000001,"REVIEW",H98-G98*R98),0)</x:f>
        <x:v>0</x:v>
      </x:c>
      <x:c r="U98" s="17" t="n">
        <x:f>P98+O98</x:f>
        <x:v>48.9972</x:v>
      </x:c>
      <x:c r="V98" s="18" t="n">
        <x:f>Q98+S98</x:f>
        <x:v>2323.9600000000005</x:v>
      </x:c>
      <x:c r="W98" s="18" t="n">
        <x:f>IF(F98="DIV",H98,0)</x:f>
        <x:v>7.74</x:v>
      </x:c>
      <x:c r="X98" s="18" t="n">
        <x:f>IF(F98="CONT",H98,0)</x:f>
        <x:v>0</x:v>
      </x:c>
      <x:c r="Y98" s="2" t="str">
        <x:f>TEXT(C98,"yyyy-mm")</x:f>
        <x:v>2024-11</x:v>
      </x:c>
      <x:c r="Z98" s="2" t="str">
        <x:f>IF(OR(AND(F98="STKREORG",N98&lt;&gt;"Applied 4-for-1 CDR split"),AND(F98="SELL",G98&gt;P98+0.000001)),"REVIEW","OK")</x:f>
        <x:v>OK</x:v>
      </x:c>
    </x:row>
    <x:row r="99" ht="21" customHeight="1">
      <x:c r="A99" s="2"/>
      <x:c r="B99" s="2" t="str">
        <x:v>ba4aa7d30483e8fb97eb</x:v>
      </x:c>
      <x:c r="C99" s="16" t="d">
        <x:v>2024-11-08T00:00:00.000Z</x:v>
      </x:c>
      <x:c r="D99" s="16" t="d">
        <x:v>2024-11-07T00:00:00.000Z</x:v>
      </x:c>
      <x:c r="E99" s="2" t="str">
        <x:v>VDY_ORD</x:v>
      </x:c>
      <x:c r="F99" s="2" t="str">
        <x:v>SELL</x:v>
      </x:c>
      <x:c r="G99" s="17" t="n">
        <x:v>10</x:v>
      </x:c>
      <x:c r="H99" s="18" t="n">
        <x:v>497.5</x:v>
      </x:c>
      <x:c r="I99" s="18" t="str">
        <x:v>CAD</x:v>
      </x:c>
      <x:c r="J99" s="18" t="n">
        <x:v>505.79</x:v>
      </x:c>
      <x:c r="K99" s="2" t="str">
        <x:v>TFSA-monthly-statement-transactions-DEMO_CAD-2024-11-01 (1).csv</x:v>
      </x:c>
      <x:c r="L99" s="2" t="n">
        <x:v>3</x:v>
      </x:c>
      <x:c r="M99" s="2" t="str">
        <x:v>VDY - Vanguard FTSE Canadian High Dividend Yield Index ETF: Sold 10.0000 shares (executed at 2024-11-07)</x:v>
      </x:c>
      <x:c r="N99" s="2" t="str">
        <x:v>Imported</x:v>
      </x:c>
      <x:c r="O99" s="17" t="n">
        <x:f>IF(F99="BUY",G99,IF(F99="SELL",-G99,IF(AND(F99="STKREORG",N99="Applied 4-for-1 CDR split"),G99,0)))</x:f>
        <x:v>-10</x:v>
      </x:c>
      <x:c r="P99" s="17" t="n">
        <x:f>SUMIF($E$6:E98,E99,$O$6:O98)</x:f>
        <x:v>48.9972</x:v>
      </x:c>
      <x:c r="Q99" s="18" t="n">
        <x:f>SUMIF($E$6:E98,E99,$S$6:S98)</x:f>
        <x:v>2323.9600000000005</x:v>
      </x:c>
      <x:c r="R99" s="18" t="n">
        <x:f>IF(P99&gt;0,Q99/P99,0)</x:f>
        <x:v>47.430465414350216</x:v>
      </x:c>
      <x:c r="S99" s="18" t="n">
        <x:f>IF(F99="BUY",-H99,IF(F99="SELL",-G99*R99,0))</x:f>
        <x:v>-474.30465414350215</x:v>
      </x:c>
      <x:c r="T99" s="18" t="n">
        <x:f>IF(F99="SELL",IF(G99&gt;P99+0.000001,"REVIEW",H99-G99*R99),0)</x:f>
        <x:v>23.195345856497852</x:v>
      </x:c>
      <x:c r="U99" s="17" t="n">
        <x:f>P99+O99</x:f>
        <x:v>38.9972</x:v>
      </x:c>
      <x:c r="V99" s="18" t="n">
        <x:f>Q99+S99</x:f>
        <x:v>1849.6553458564983</x:v>
      </x:c>
      <x:c r="W99" s="18" t="n">
        <x:f>IF(F99="DIV",H99,0)</x:f>
        <x:v>0</x:v>
      </x:c>
      <x:c r="X99" s="18" t="n">
        <x:f>IF(F99="CONT",H99,0)</x:f>
        <x:v>0</x:v>
      </x:c>
      <x:c r="Y99" s="2" t="str">
        <x:f>TEXT(C99,"yyyy-mm")</x:f>
        <x:v>2024-11</x:v>
      </x:c>
      <x:c r="Z99" s="2" t="str">
        <x:f>IF(OR(AND(F99="STKREORG",N99&lt;&gt;"Applied 4-for-1 CDR split"),AND(F99="SELL",G99&gt;P99+0.000001)),"REVIEW","OK")</x:f>
        <x:v>OK</x:v>
      </x:c>
    </x:row>
    <x:row r="100" ht="21" customHeight="1">
      <x:c r="A100" s="2"/>
      <x:c r="B100" s="2" t="str">
        <x:v>76185b04e7138f9550a7</x:v>
      </x:c>
      <x:c r="C100" s="16" t="d">
        <x:v>2024-11-08T00:00:00.000Z</x:v>
      </x:c>
      <x:c r="D100" s="16" t="d">
        <x:v>2024-11-07T00:00:00.000Z</x:v>
      </x:c>
      <x:c r="E100" s="2" t="str">
        <x:v>VFV_ORD</x:v>
      </x:c>
      <x:c r="F100" s="2" t="str">
        <x:v>BUY</x:v>
      </x:c>
      <x:c r="G100" s="17" t="n">
        <x:v>3</x:v>
      </x:c>
      <x:c r="H100" s="18" t="n">
        <x:v>-439.83</x:v>
      </x:c>
      <x:c r="I100" s="18" t="str">
        <x:v>CAD</x:v>
      </x:c>
      <x:c r="J100" s="18" t="n">
        <x:v>65.96</x:v>
      </x:c>
      <x:c r="K100" s="2" t="str">
        <x:v>TFSA-monthly-statement-transactions-DEMO_CAD-2024-11-01 (1).csv</x:v>
      </x:c>
      <x:c r="L100" s="2" t="n">
        <x:v>4</x:v>
      </x:c>
      <x:c r="M100" s="2" t="str">
        <x:v>VFV - Vanguard S&amp;P 500 Index ETF: Bought 3.0000 shares (executed at 2024-11-07)</x:v>
      </x:c>
      <x:c r="N100" s="2" t="str">
        <x:v>Imported</x:v>
      </x:c>
      <x:c r="O100" s="17" t="n">
        <x:f>IF(F100="BUY",G100,IF(F100="SELL",-G100,IF(AND(F100="STKREORG",N100="Applied 4-for-1 CDR split"),G100,0)))</x:f>
        <x:v>3</x:v>
      </x:c>
      <x:c r="P100" s="17" t="n">
        <x:f>SUMIF($E$6:E99,E100,$O$6:O99)</x:f>
        <x:v>15.8487</x:v>
      </x:c>
      <x:c r="Q100" s="18" t="n">
        <x:f>SUMIF($E$6:E99,E100,$S$6:S99)</x:f>
        <x:v>2164.35</x:v>
      </x:c>
      <x:c r="R100" s="18" t="n">
        <x:f>IF(P100&gt;0,Q100/P100,0)</x:f>
        <x:v>136.56325124458158</x:v>
      </x:c>
      <x:c r="S100" s="18" t="n">
        <x:f>IF(F100="BUY",-H100,IF(F100="SELL",-G100*R100,0))</x:f>
        <x:v>439.83</x:v>
      </x:c>
      <x:c r="T100" s="18" t="n">
        <x:f>IF(F100="SELL",IF(G100&gt;P100+0.000001,"REVIEW",H100-G100*R100),0)</x:f>
        <x:v>0</x:v>
      </x:c>
      <x:c r="U100" s="17" t="n">
        <x:f>P100+O100</x:f>
        <x:v>18.8487</x:v>
      </x:c>
      <x:c r="V100" s="18" t="n">
        <x:f>Q100+S100</x:f>
        <x:v>2604.18</x:v>
      </x:c>
      <x:c r="W100" s="18" t="n">
        <x:f>IF(F100="DIV",H100,0)</x:f>
        <x:v>0</x:v>
      </x:c>
      <x:c r="X100" s="18" t="n">
        <x:f>IF(F100="CONT",H100,0)</x:f>
        <x:v>0</x:v>
      </x:c>
      <x:c r="Y100" s="2" t="str">
        <x:f>TEXT(C100,"yyyy-mm")</x:f>
        <x:v>2024-11</x:v>
      </x:c>
      <x:c r="Z100" s="2" t="str">
        <x:f>IF(OR(AND(F100="STKREORG",N100&lt;&gt;"Applied 4-for-1 CDR split"),AND(F100="SELL",G100&gt;P100+0.000001)),"REVIEW","OK")</x:f>
        <x:v>OK</x:v>
      </x:c>
    </x:row>
    <x:row r="101" ht="21" customHeight="1">
      <x:c r="A101" s="2"/>
      <x:c r="B101" s="2" t="str">
        <x:v>b25f6dbae3d50a28094a</x:v>
      </x:c>
      <x:c r="C101" s="16" t="d">
        <x:v>2024-11-08T00:00:00.000Z</x:v>
      </x:c>
      <x:c r="D101" s="16" t="d">
        <x:v>2024-11-07T00:00:00.000Z</x:v>
      </x:c>
      <x:c r="E101" s="2" t="str">
        <x:v>XEI_ORD</x:v>
      </x:c>
      <x:c r="F101" s="2" t="str">
        <x:v>SELL</x:v>
      </x:c>
      <x:c r="G101" s="17" t="n">
        <x:v>5</x:v>
      </x:c>
      <x:c r="H101" s="18" t="n">
        <x:v>138.6</x:v>
      </x:c>
      <x:c r="I101" s="18" t="str">
        <x:v>CAD</x:v>
      </x:c>
      <x:c r="J101" s="18" t="n">
        <x:v>204.56</x:v>
      </x:c>
      <x:c r="K101" s="2" t="str">
        <x:v>TFSA-monthly-statement-transactions-DEMO_CAD-2024-11-01 (1).csv</x:v>
      </x:c>
      <x:c r="L101" s="2" t="n">
        <x:v>5</x:v>
      </x:c>
      <x:c r="M101" s="2" t="str">
        <x:v>XEI - iShares S&amp;P/TSX Composite High Dividend Income Index ETF: Sold 5.0000 shares (executed at 2024-11-07)</x:v>
      </x:c>
      <x:c r="N101" s="2" t="str">
        <x:v>Imported</x:v>
      </x:c>
      <x:c r="O101" s="17" t="n">
        <x:f>IF(F101="BUY",G101,IF(F101="SELL",-G101,IF(AND(F101="STKREORG",N101="Applied 4-for-1 CDR split"),G101,0)))</x:f>
        <x:v>-5</x:v>
      </x:c>
      <x:c r="P101" s="17" t="n">
        <x:f>SUMIF($E$6:E100,E101,$O$6:O100)</x:f>
        <x:v>5</x:v>
      </x:c>
      <x:c r="Q101" s="18" t="n">
        <x:f>SUMIF($E$6:E100,E101,$S$6:S100)</x:f>
        <x:v>136.65</x:v>
      </x:c>
      <x:c r="R101" s="18" t="n">
        <x:f>IF(P101&gt;0,Q101/P101,0)</x:f>
        <x:v>27.330000000000002</x:v>
      </x:c>
      <x:c r="S101" s="18" t="n">
        <x:f>IF(F101="BUY",-H101,IF(F101="SELL",-G101*R101,0))</x:f>
        <x:v>-136.65</x:v>
      </x:c>
      <x:c r="T101" s="18" t="n">
        <x:f>IF(F101="SELL",IF(G101&gt;P101+0.000001,"REVIEW",H101-G101*R101),0)</x:f>
        <x:v>1.9499999999999886</x:v>
      </x:c>
      <x:c r="U101" s="17" t="n">
        <x:f>P101+O101</x:f>
        <x:v>0</x:v>
      </x:c>
      <x:c r="V101" s="18" t="n">
        <x:f>Q101+S101</x:f>
        <x:v>0</x:v>
      </x:c>
      <x:c r="W101" s="18" t="n">
        <x:f>IF(F101="DIV",H101,0)</x:f>
        <x:v>0</x:v>
      </x:c>
      <x:c r="X101" s="18" t="n">
        <x:f>IF(F101="CONT",H101,0)</x:f>
        <x:v>0</x:v>
      </x:c>
      <x:c r="Y101" s="2" t="str">
        <x:f>TEXT(C101,"yyyy-mm")</x:f>
        <x:v>2024-11</x:v>
      </x:c>
      <x:c r="Z101" s="2" t="str">
        <x:f>IF(OR(AND(F101="STKREORG",N101&lt;&gt;"Applied 4-for-1 CDR split"),AND(F101="SELL",G101&gt;P101+0.000001)),"REVIEW","OK")</x:f>
        <x:v>OK</x:v>
      </x:c>
    </x:row>
    <x:row r="102" ht="21" customHeight="1">
      <x:c r="A102" s="2"/>
      <x:c r="B102" s="2" t="str">
        <x:v>a5d7b0da1d1c8c117e7d</x:v>
      </x:c>
      <x:c r="C102" s="16" t="d">
        <x:v>2024-11-08T00:00:00.000Z</x:v>
      </x:c>
      <x:c r="D102" s="16" t="d">
        <x:v>2024-11-07T00:00:00.000Z</x:v>
      </x:c>
      <x:c r="E102" s="2" t="str">
        <x:v>VFV_ORD</x:v>
      </x:c>
      <x:c r="F102" s="2" t="str">
        <x:v>BUY</x:v>
      </x:c>
      <x:c r="G102" s="17" t="n">
        <x:v>0.3966</x:v>
      </x:c>
      <x:c r="H102" s="18" t="n">
        <x:v>-58.22</x:v>
      </x:c>
      <x:c r="I102" s="18" t="str">
        <x:v>CAD</x:v>
      </x:c>
      <x:c r="J102" s="18" t="n">
        <x:v>146.34</x:v>
      </x:c>
      <x:c r="K102" s="2" t="str">
        <x:v>TFSA-monthly-statement-transactions-DEMO_CAD-2024-11-01 (1).csv</x:v>
      </x:c>
      <x:c r="L102" s="2" t="n">
        <x:v>6</x:v>
      </x:c>
      <x:c r="M102" s="2" t="str">
        <x:v>VFV - Vanguard S&amp;P 500 Index ETF: Bought 0.3966 shares (executed at 2024-11-07)</x:v>
      </x:c>
      <x:c r="N102" s="2" t="str">
        <x:v>Imported</x:v>
      </x:c>
      <x:c r="O102" s="17" t="n">
        <x:f>IF(F102="BUY",G102,IF(F102="SELL",-G102,IF(AND(F102="STKREORG",N102="Applied 4-for-1 CDR split"),G102,0)))</x:f>
        <x:v>0.3966</x:v>
      </x:c>
      <x:c r="P102" s="17" t="n">
        <x:f>SUMIF($E$6:E101,E102,$O$6:O101)</x:f>
        <x:v>18.8487</x:v>
      </x:c>
      <x:c r="Q102" s="18" t="n">
        <x:f>SUMIF($E$6:E101,E102,$S$6:S101)</x:f>
        <x:v>2604.18</x:v>
      </x:c>
      <x:c r="R102" s="18" t="n">
        <x:f>IF(P102&gt;0,Q102/P102,0)</x:f>
        <x:v>138.16231358130798</x:v>
      </x:c>
      <x:c r="S102" s="18" t="n">
        <x:f>IF(F102="BUY",-H102,IF(F102="SELL",-G102*R102,0))</x:f>
        <x:v>58.22</x:v>
      </x:c>
      <x:c r="T102" s="18" t="n">
        <x:f>IF(F102="SELL",IF(G102&gt;P102+0.000001,"REVIEW",H102-G102*R102),0)</x:f>
        <x:v>0</x:v>
      </x:c>
      <x:c r="U102" s="17" t="n">
        <x:f>P102+O102</x:f>
        <x:v>19.2453</x:v>
      </x:c>
      <x:c r="V102" s="18" t="n">
        <x:f>Q102+S102</x:f>
        <x:v>2662.3999999999996</x:v>
      </x:c>
      <x:c r="W102" s="18" t="n">
        <x:f>IF(F102="DIV",H102,0)</x:f>
        <x:v>0</x:v>
      </x:c>
      <x:c r="X102" s="18" t="n">
        <x:f>IF(F102="CONT",H102,0)</x:f>
        <x:v>0</x:v>
      </x:c>
      <x:c r="Y102" s="2" t="str">
        <x:f>TEXT(C102,"yyyy-mm")</x:f>
        <x:v>2024-11</x:v>
      </x:c>
      <x:c r="Z102" s="2" t="str">
        <x:f>IF(OR(AND(F102="STKREORG",N102&lt;&gt;"Applied 4-for-1 CDR split"),AND(F102="SELL",G102&gt;P102+0.000001)),"REVIEW","OK")</x:f>
        <x:v>OK</x:v>
      </x:c>
    </x:row>
    <x:row r="103" ht="21" customHeight="1">
      <x:c r="A103" s="2"/>
      <x:c r="B103" s="2" t="str">
        <x:v>95242536930646b34397</x:v>
      </x:c>
      <x:c r="C103" s="16" t="d">
        <x:v>2024-11-15T00:00:00.000Z</x:v>
      </x:c>
      <x:c r="D103" s="16" t="d">
        <x:v>2024-11-14T00:00:00.000Z</x:v>
      </x:c>
      <x:c r="E103" s="2" t="str">
        <x:v>VFV_ORD</x:v>
      </x:c>
      <x:c r="F103" s="2" t="str">
        <x:v>BUY</x:v>
      </x:c>
      <x:c r="G103" s="17" t="n">
        <x:v>7</x:v>
      </x:c>
      <x:c r="H103" s="18" t="n">
        <x:v>-1039.43</x:v>
      </x:c>
      <x:c r="I103" s="18" t="str">
        <x:v>CAD</x:v>
      </x:c>
      <x:c r="J103" s="18" t="n">
        <x:v>-893.09</x:v>
      </x:c>
      <x:c r="K103" s="2" t="str">
        <x:v>TFSA-monthly-statement-transactions-DEMO_CAD-2024-11-01 (1).csv</x:v>
      </x:c>
      <x:c r="L103" s="2" t="n">
        <x:v>7</x:v>
      </x:c>
      <x:c r="M103" s="2" t="str">
        <x:v>VFV - Vanguard S&amp;P 500 Index ETF: Bought 7.0000 shares (executed at 2024-11-14)</x:v>
      </x:c>
      <x:c r="N103" s="2" t="str">
        <x:v>Imported</x:v>
      </x:c>
      <x:c r="O103" s="17" t="n">
        <x:f>IF(F103="BUY",G103,IF(F103="SELL",-G103,IF(AND(F103="STKREORG",N103="Applied 4-for-1 CDR split"),G103,0)))</x:f>
        <x:v>7</x:v>
      </x:c>
      <x:c r="P103" s="17" t="n">
        <x:f>SUMIF($E$6:E102,E103,$O$6:O102)</x:f>
        <x:v>19.2453</x:v>
      </x:c>
      <x:c r="Q103" s="18" t="n">
        <x:f>SUMIF($E$6:E102,E103,$S$6:S102)</x:f>
        <x:v>2662.3999999999996</x:v>
      </x:c>
      <x:c r="R103" s="18" t="n">
        <x:f>IF(P103&gt;0,Q103/P103,0)</x:f>
        <x:v>138.3402700919185</x:v>
      </x:c>
      <x:c r="S103" s="18" t="n">
        <x:f>IF(F103="BUY",-H103,IF(F103="SELL",-G103*R103,0))</x:f>
        <x:v>1039.43</x:v>
      </x:c>
      <x:c r="T103" s="18" t="n">
        <x:f>IF(F103="SELL",IF(G103&gt;P103+0.000001,"REVIEW",H103-G103*R103),0)</x:f>
        <x:v>0</x:v>
      </x:c>
      <x:c r="U103" s="17" t="n">
        <x:f>P103+O103</x:f>
        <x:v>26.2453</x:v>
      </x:c>
      <x:c r="V103" s="18" t="n">
        <x:f>Q103+S103</x:f>
        <x:v>3701.83</x:v>
      </x:c>
      <x:c r="W103" s="18" t="n">
        <x:f>IF(F103="DIV",H103,0)</x:f>
        <x:v>0</x:v>
      </x:c>
      <x:c r="X103" s="18" t="n">
        <x:f>IF(F103="CONT",H103,0)</x:f>
        <x:v>0</x:v>
      </x:c>
      <x:c r="Y103" s="2" t="str">
        <x:f>TEXT(C103,"yyyy-mm")</x:f>
        <x:v>2024-11</x:v>
      </x:c>
      <x:c r="Z103" s="2" t="str">
        <x:f>IF(OR(AND(F103="STKREORG",N103&lt;&gt;"Applied 4-for-1 CDR split"),AND(F103="SELL",G103&gt;P103+0.000001)),"REVIEW","OK")</x:f>
        <x:v>OK</x:v>
      </x:c>
    </x:row>
    <x:row r="104" ht="21" customHeight="1">
      <x:c r="A104" s="2"/>
      <x:c r="B104" s="2" t="str">
        <x:v>61bf0378b76757e5a28d</x:v>
      </x:c>
      <x:c r="C104" s="16" t="d">
        <x:v>2024-11-15T00:00:00.000Z</x:v>
      </x:c>
      <x:c r="D104" s="16" t="d">
        <x:v>2024-11-14T00:00:00.000Z</x:v>
      </x:c>
      <x:c r="E104" s="2" t="str">
        <x:v>VDY_ORD</x:v>
      </x:c>
      <x:c r="F104" s="2" t="str">
        <x:v>SELL</x:v>
      </x:c>
      <x:c r="G104" s="17" t="n">
        <x:v>20</x:v>
      </x:c>
      <x:c r="H104" s="18" t="n">
        <x:v>1001.4</x:v>
      </x:c>
      <x:c r="I104" s="18" t="str">
        <x:v>CAD</x:v>
      </x:c>
      <x:c r="J104" s="18" t="n">
        <x:v>108.31</x:v>
      </x:c>
      <x:c r="K104" s="2" t="str">
        <x:v>TFSA-monthly-statement-transactions-DEMO_CAD-2024-11-01 (1).csv</x:v>
      </x:c>
      <x:c r="L104" s="2" t="n">
        <x:v>8</x:v>
      </x:c>
      <x:c r="M104" s="2" t="str">
        <x:v>VDY - Vanguard FTSE Canadian High Dividend Yield Index ETF: Sold 20.0000 shares (executed at 2024-11-14)</x:v>
      </x:c>
      <x:c r="N104" s="2" t="str">
        <x:v>Imported</x:v>
      </x:c>
      <x:c r="O104" s="17" t="n">
        <x:f>IF(F104="BUY",G104,IF(F104="SELL",-G104,IF(AND(F104="STKREORG",N104="Applied 4-for-1 CDR split"),G104,0)))</x:f>
        <x:v>-20</x:v>
      </x:c>
      <x:c r="P104" s="17" t="n">
        <x:f>SUMIF($E$6:E103,E104,$O$6:O103)</x:f>
        <x:v>38.9972</x:v>
      </x:c>
      <x:c r="Q104" s="18" t="n">
        <x:f>SUMIF($E$6:E103,E104,$S$6:S103)</x:f>
        <x:v>1849.6553458564983</x:v>
      </x:c>
      <x:c r="R104" s="18" t="n">
        <x:f>IF(P104&gt;0,Q104/P104,0)</x:f>
        <x:v>47.430465414350216</x:v>
      </x:c>
      <x:c r="S104" s="18" t="n">
        <x:f>IF(F104="BUY",-H104,IF(F104="SELL",-G104*R104,0))</x:f>
        <x:v>-948.6093082870043</x:v>
      </x:c>
      <x:c r="T104" s="18" t="n">
        <x:f>IF(F104="SELL",IF(G104&gt;P104+0.000001,"REVIEW",H104-G104*R104),0)</x:f>
        <x:v>52.79069171299568</x:v>
      </x:c>
      <x:c r="U104" s="17" t="n">
        <x:f>P104+O104</x:f>
        <x:v>18.9972</x:v>
      </x:c>
      <x:c r="V104" s="18" t="n">
        <x:f>Q104+S104</x:f>
        <x:v>901.046037569494</x:v>
      </x:c>
      <x:c r="W104" s="18" t="n">
        <x:f>IF(F104="DIV",H104,0)</x:f>
        <x:v>0</x:v>
      </x:c>
      <x:c r="X104" s="18" t="n">
        <x:f>IF(F104="CONT",H104,0)</x:f>
        <x:v>0</x:v>
      </x:c>
      <x:c r="Y104" s="2" t="str">
        <x:f>TEXT(C104,"yyyy-mm")</x:f>
        <x:v>2024-11</x:v>
      </x:c>
      <x:c r="Z104" s="2" t="str">
        <x:f>IF(OR(AND(F104="STKREORG",N104&lt;&gt;"Applied 4-for-1 CDR split"),AND(F104="SELL",G104&gt;P104+0.000001)),"REVIEW","OK")</x:f>
        <x:v>OK</x:v>
      </x:c>
    </x:row>
    <x:row r="105" ht="21" customHeight="1">
      <x:c r="A105" s="2"/>
      <x:c r="B105" s="2" t="str">
        <x:v>2c617c6ee22b4220515e</x:v>
      </x:c>
      <x:c r="C105" s="16" t="d">
        <x:v>2024-11-15T00:00:00.000Z</x:v>
      </x:c>
      <x:c r="D105" s="16" t="d">
        <x:v>2024-11-14T00:00:00.000Z</x:v>
      </x:c>
      <x:c r="E105" s="2" t="str">
        <x:v>XEQT_ORD</x:v>
      </x:c>
      <x:c r="F105" s="2" t="str">
        <x:v>BUY</x:v>
      </x:c>
      <x:c r="G105" s="17" t="n">
        <x:v>3</x:v>
      </x:c>
      <x:c r="H105" s="18" t="n">
        <x:v>-101.22</x:v>
      </x:c>
      <x:c r="I105" s="18" t="str">
        <x:v>CAD</x:v>
      </x:c>
      <x:c r="J105" s="18" t="n">
        <x:v>7.09</x:v>
      </x:c>
      <x:c r="K105" s="2" t="str">
        <x:v>TFSA-monthly-statement-transactions-DEMO_CAD-2024-11-01 (1).csv</x:v>
      </x:c>
      <x:c r="L105" s="2" t="n">
        <x:v>9</x:v>
      </x:c>
      <x:c r="M105" s="2" t="str">
        <x:v>XEQT - iShares Core Equity ETF Portfolio: Bought 3.0000 shares (executed at 2024-11-14)</x:v>
      </x:c>
      <x:c r="N105" s="2" t="str">
        <x:v>Imported</x:v>
      </x:c>
      <x:c r="O105" s="17" t="n">
        <x:f>IF(F105="BUY",G105,IF(F105="SELL",-G105,IF(AND(F105="STKREORG",N105="Applied 4-for-1 CDR split"),G105,0)))</x:f>
        <x:v>3</x:v>
      </x:c>
      <x:c r="P105" s="17" t="n">
        <x:f>SUMIF($E$6:E104,E105,$O$6:O104)</x:f>
        <x:v>140.5034</x:v>
      </x:c>
      <x:c r="Q105" s="18" t="n">
        <x:f>SUMIF($E$6:E104,E105,$S$6:S104)</x:f>
        <x:v>4472.95</x:v>
      </x:c>
      <x:c r="R105" s="18" t="n">
        <x:f>IF(P105&gt;0,Q105/P105,0)</x:f>
        <x:v>31.835172671978043</x:v>
      </x:c>
      <x:c r="S105" s="18" t="n">
        <x:f>IF(F105="BUY",-H105,IF(F105="SELL",-G105*R105,0))</x:f>
        <x:v>101.22</x:v>
      </x:c>
      <x:c r="T105" s="18" t="n">
        <x:f>IF(F105="SELL",IF(G105&gt;P105+0.000001,"REVIEW",H105-G105*R105),0)</x:f>
        <x:v>0</x:v>
      </x:c>
      <x:c r="U105" s="17" t="n">
        <x:f>P105+O105</x:f>
        <x:v>143.5034</x:v>
      </x:c>
      <x:c r="V105" s="18" t="n">
        <x:f>Q105+S105</x:f>
        <x:v>4574.17</x:v>
      </x:c>
      <x:c r="W105" s="18" t="n">
        <x:f>IF(F105="DIV",H105,0)</x:f>
        <x:v>0</x:v>
      </x:c>
      <x:c r="X105" s="18" t="n">
        <x:f>IF(F105="CONT",H105,0)</x:f>
        <x:v>0</x:v>
      </x:c>
      <x:c r="Y105" s="2" t="str">
        <x:f>TEXT(C105,"yyyy-mm")</x:f>
        <x:v>2024-11</x:v>
      </x:c>
      <x:c r="Z105" s="2" t="str">
        <x:f>IF(OR(AND(F105="STKREORG",N105&lt;&gt;"Applied 4-for-1 CDR split"),AND(F105="SELL",G105&gt;P105+0.000001)),"REVIEW","OK")</x:f>
        <x:v>OK</x:v>
      </x:c>
    </x:row>
    <x:row r="106" ht="21" customHeight="1">
      <x:c r="A106" s="2"/>
      <x:c r="B106" s="2" t="str">
        <x:v>c71aceaf9913881eb4d8</x:v>
      </x:c>
      <x:c r="C106" s="16" t="d">
        <x:v>2024-11-15T00:00:00.000Z</x:v>
      </x:c>
      <x:c r="D106" s="16" t="d">
        <x:v>2024-11-14T00:00:00.000Z</x:v>
      </x:c>
      <x:c r="E106" s="2" t="str">
        <x:v>XEQT_ORD</x:v>
      </x:c>
      <x:c r="F106" s="2" t="str">
        <x:v>BUY</x:v>
      </x:c>
      <x:c r="G106" s="17" t="n">
        <x:v>0.2099</x:v>
      </x:c>
      <x:c r="H106" s="18" t="n">
        <x:v>-7.09</x:v>
      </x:c>
      <x:c r="I106" s="18" t="str">
        <x:v>CAD</x:v>
      </x:c>
      <x:c r="J106" s="18" t="n">
        <x:v>0</x:v>
      </x:c>
      <x:c r="K106" s="2" t="str">
        <x:v>TFSA-monthly-statement-transactions-DEMO_CAD-2024-11-01 (1).csv</x:v>
      </x:c>
      <x:c r="L106" s="2" t="n">
        <x:v>10</x:v>
      </x:c>
      <x:c r="M106" s="2" t="str">
        <x:v>XEQT - iShares Core Equity ETF Portfolio: Bought 0.2099 shares (executed at 2024-11-14)</x:v>
      </x:c>
      <x:c r="N106" s="2" t="str">
        <x:v>Imported</x:v>
      </x:c>
      <x:c r="O106" s="17" t="n">
        <x:f>IF(F106="BUY",G106,IF(F106="SELL",-G106,IF(AND(F106="STKREORG",N106="Applied 4-for-1 CDR split"),G106,0)))</x:f>
        <x:v>0.2099</x:v>
      </x:c>
      <x:c r="P106" s="17" t="n">
        <x:f>SUMIF($E$6:E105,E106,$O$6:O105)</x:f>
        <x:v>143.5034</x:v>
      </x:c>
      <x:c r="Q106" s="18" t="n">
        <x:f>SUMIF($E$6:E105,E106,$S$6:S105)</x:f>
        <x:v>4574.17</x:v>
      </x:c>
      <x:c r="R106" s="18" t="n">
        <x:f>IF(P106&gt;0,Q106/P106,0)</x:f>
        <x:v>31.874993902583494</x:v>
      </x:c>
      <x:c r="S106" s="18" t="n">
        <x:f>IF(F106="BUY",-H106,IF(F106="SELL",-G106*R106,0))</x:f>
        <x:v>7.09</x:v>
      </x:c>
      <x:c r="T106" s="18" t="n">
        <x:f>IF(F106="SELL",IF(G106&gt;P106+0.000001,"REVIEW",H106-G106*R106),0)</x:f>
        <x:v>0</x:v>
      </x:c>
      <x:c r="U106" s="17" t="n">
        <x:f>P106+O106</x:f>
        <x:v>143.7133</x:v>
      </x:c>
      <x:c r="V106" s="18" t="n">
        <x:f>Q106+S106</x:f>
        <x:v>4581.26</x:v>
      </x:c>
      <x:c r="W106" s="18" t="n">
        <x:f>IF(F106="DIV",H106,0)</x:f>
        <x:v>0</x:v>
      </x:c>
      <x:c r="X106" s="18" t="n">
        <x:f>IF(F106="CONT",H106,0)</x:f>
        <x:v>0</x:v>
      </x:c>
      <x:c r="Y106" s="2" t="str">
        <x:f>TEXT(C106,"yyyy-mm")</x:f>
        <x:v>2024-11</x:v>
      </x:c>
      <x:c r="Z106" s="2" t="str">
        <x:f>IF(OR(AND(F106="STKREORG",N106&lt;&gt;"Applied 4-for-1 CDR split"),AND(F106="SELL",G106&gt;P106+0.000001)),"REVIEW","OK")</x:f>
        <x:v>OK</x:v>
      </x:c>
    </x:row>
    <x:row r="107" ht="21" customHeight="1">
      <x:c r="A107" s="2"/>
      <x:c r="B107" s="2" t="str">
        <x:v>b23648f9f39376adae2a</x:v>
      </x:c>
      <x:c r="C107" s="16" t="d">
        <x:v>2024-11-26T00:00:00.000Z</x:v>
      </x:c>
      <x:c r="D107" s="16" t="d">
        <x:v>2024-11-25T00:00:00.000Z</x:v>
      </x:c>
      <x:c r="E107" s="2" t="str">
        <x:v>ENB_ORD</x:v>
      </x:c>
      <x:c r="F107" s="2" t="str">
        <x:v>SELL</x:v>
      </x:c>
      <x:c r="G107" s="17" t="n">
        <x:v>6</x:v>
      </x:c>
      <x:c r="H107" s="18" t="n">
        <x:v>360.84</x:v>
      </x:c>
      <x:c r="I107" s="18" t="str">
        <x:v>CAD</x:v>
      </x:c>
      <x:c r="J107" s="18" t="n">
        <x:v>360.84</x:v>
      </x:c>
      <x:c r="K107" s="2" t="str">
        <x:v>TFSA-monthly-statement-transactions-DEMO_CAD-2024-11-01 (1).csv</x:v>
      </x:c>
      <x:c r="L107" s="2" t="n">
        <x:v>11</x:v>
      </x:c>
      <x:c r="M107" s="2" t="str">
        <x:v>ENB - Enbridge Inc: Sold 6.0000 shares (executed at 2024-11-25)</x:v>
      </x:c>
      <x:c r="N107" s="2" t="str">
        <x:v>Imported</x:v>
      </x:c>
      <x:c r="O107" s="17" t="n">
        <x:f>IF(F107="BUY",G107,IF(F107="SELL",-G107,IF(AND(F107="STKREORG",N107="Applied 4-for-1 CDR split"),G107,0)))</x:f>
        <x:v>-6</x:v>
      </x:c>
      <x:c r="P107" s="17" t="n">
        <x:f>SUMIF($E$6:E106,E107,$O$6:O106)</x:f>
        <x:v>6</x:v>
      </x:c>
      <x:c r="Q107" s="18" t="n">
        <x:f>SUMIF($E$6:E106,E107,$S$6:S106)</x:f>
        <x:v>337.44</x:v>
      </x:c>
      <x:c r="R107" s="18" t="n">
        <x:f>IF(P107&gt;0,Q107/P107,0)</x:f>
        <x:v>56.24</x:v>
      </x:c>
      <x:c r="S107" s="18" t="n">
        <x:f>IF(F107="BUY",-H107,IF(F107="SELL",-G107*R107,0))</x:f>
        <x:v>-337.44</x:v>
      </x:c>
      <x:c r="T107" s="18" t="n">
        <x:f>IF(F107="SELL",IF(G107&gt;P107+0.000001,"REVIEW",H107-G107*R107),0)</x:f>
        <x:v>23.399999999999977</x:v>
      </x:c>
      <x:c r="U107" s="17" t="n">
        <x:f>P107+O107</x:f>
        <x:v>0</x:v>
      </x:c>
      <x:c r="V107" s="18" t="n">
        <x:f>Q107+S107</x:f>
        <x:v>0</x:v>
      </x:c>
      <x:c r="W107" s="18" t="n">
        <x:f>IF(F107="DIV",H107,0)</x:f>
        <x:v>0</x:v>
      </x:c>
      <x:c r="X107" s="18" t="n">
        <x:f>IF(F107="CONT",H107,0)</x:f>
        <x:v>0</x:v>
      </x:c>
      <x:c r="Y107" s="2" t="str">
        <x:f>TEXT(C107,"yyyy-mm")</x:f>
        <x:v>2024-11</x:v>
      </x:c>
      <x:c r="Z107" s="2" t="str">
        <x:f>IF(OR(AND(F107="STKREORG",N107&lt;&gt;"Applied 4-for-1 CDR split"),AND(F107="SELL",G107&gt;P107+0.000001)),"REVIEW","OK")</x:f>
        <x:v>OK</x:v>
      </x:c>
    </x:row>
    <x:row r="108" ht="21" customHeight="1">
      <x:c r="A108" s="2"/>
      <x:c r="B108" s="2" t="str">
        <x:v>3fbd7a1b1271ef8ad3b2</x:v>
      </x:c>
      <x:c r="C108" s="16" t="d">
        <x:v>2024-11-26T00:00:00.000Z</x:v>
      </x:c>
      <x:c r="D108" s="16" t="d">
        <x:v>2024-11-25T00:00:00.000Z</x:v>
      </x:c>
      <x:c r="E108" s="2" t="str">
        <x:v>VDY_ORD</x:v>
      </x:c>
      <x:c r="F108" s="2" t="str">
        <x:v>BUY</x:v>
      </x:c>
      <x:c r="G108" s="17" t="n">
        <x:v>9</x:v>
      </x:c>
      <x:c r="H108" s="18" t="n">
        <x:v>-456.75</x:v>
      </x:c>
      <x:c r="I108" s="18" t="str">
        <x:v>CAD</x:v>
      </x:c>
      <x:c r="J108" s="18" t="n">
        <x:v>-95.91</x:v>
      </x:c>
      <x:c r="K108" s="2" t="str">
        <x:v>TFSA-monthly-statement-transactions-DEMO_CAD-2024-11-01 (1).csv</x:v>
      </x:c>
      <x:c r="L108" s="2" t="n">
        <x:v>12</x:v>
      </x:c>
      <x:c r="M108" s="2" t="str">
        <x:v>VDY - Vanguard FTSE Canadian High Dividend Yield Index ETF: Bought 9.0000 shares (executed at 2024-11-25)</x:v>
      </x:c>
      <x:c r="N108" s="2" t="str">
        <x:v>Imported</x:v>
      </x:c>
      <x:c r="O108" s="17" t="n">
        <x:f>IF(F108="BUY",G108,IF(F108="SELL",-G108,IF(AND(F108="STKREORG",N108="Applied 4-for-1 CDR split"),G108,0)))</x:f>
        <x:v>9</x:v>
      </x:c>
      <x:c r="P108" s="17" t="n">
        <x:f>SUMIF($E$6:E107,E108,$O$6:O107)</x:f>
        <x:v>18.9972</x:v>
      </x:c>
      <x:c r="Q108" s="18" t="n">
        <x:f>SUMIF($E$6:E107,E108,$S$6:S107)</x:f>
        <x:v>901.046037569494</x:v>
      </x:c>
      <x:c r="R108" s="18" t="n">
        <x:f>IF(P108&gt;0,Q108/P108,0)</x:f>
        <x:v>47.43046541435022</x:v>
      </x:c>
      <x:c r="S108" s="18" t="n">
        <x:f>IF(F108="BUY",-H108,IF(F108="SELL",-G108*R108,0))</x:f>
        <x:v>456.75</x:v>
      </x:c>
      <x:c r="T108" s="18" t="n">
        <x:f>IF(F108="SELL",IF(G108&gt;P108+0.000001,"REVIEW",H108-G108*R108),0)</x:f>
        <x:v>0</x:v>
      </x:c>
      <x:c r="U108" s="17" t="n">
        <x:f>P108+O108</x:f>
        <x:v>27.9972</x:v>
      </x:c>
      <x:c r="V108" s="18" t="n">
        <x:f>Q108+S108</x:f>
        <x:v>1357.796037569494</x:v>
      </x:c>
      <x:c r="W108" s="18" t="n">
        <x:f>IF(F108="DIV",H108,0)</x:f>
        <x:v>0</x:v>
      </x:c>
      <x:c r="X108" s="18" t="n">
        <x:f>IF(F108="CONT",H108,0)</x:f>
        <x:v>0</x:v>
      </x:c>
      <x:c r="Y108" s="2" t="str">
        <x:f>TEXT(C108,"yyyy-mm")</x:f>
        <x:v>2024-11</x:v>
      </x:c>
      <x:c r="Z108" s="2" t="str">
        <x:f>IF(OR(AND(F108="STKREORG",N108&lt;&gt;"Applied 4-for-1 CDR split"),AND(F108="SELL",G108&gt;P108+0.000001)),"REVIEW","OK")</x:f>
        <x:v>OK</x:v>
      </x:c>
    </x:row>
    <x:row r="109" ht="21" customHeight="1">
      <x:c r="A109" s="2"/>
      <x:c r="B109" s="2" t="str">
        <x:v>606adce362341a2c2cdb</x:v>
      </x:c>
      <x:c r="C109" s="16" t="d">
        <x:v>2024-11-26T00:00:00.000Z</x:v>
      </x:c>
      <x:c r="D109" s="16" t="d">
        <x:v>2024-11-25T00:00:00.000Z</x:v>
      </x:c>
      <x:c r="E109" s="2" t="str">
        <x:v>CPX_ORD</x:v>
      </x:c>
      <x:c r="F109" s="2" t="str">
        <x:v>SELL</x:v>
      </x:c>
      <x:c r="G109" s="17" t="n">
        <x:v>2</x:v>
      </x:c>
      <x:c r="H109" s="18" t="n">
        <x:v>122.06</x:v>
      </x:c>
      <x:c r="I109" s="18" t="str">
        <x:v>CAD</x:v>
      </x:c>
      <x:c r="J109" s="18" t="n">
        <x:v>26.15</x:v>
      </x:c>
      <x:c r="K109" s="2" t="str">
        <x:v>TFSA-monthly-statement-transactions-DEMO_CAD-2024-11-01 (1).csv</x:v>
      </x:c>
      <x:c r="L109" s="2" t="n">
        <x:v>13</x:v>
      </x:c>
      <x:c r="M109" s="2" t="str">
        <x:v>CPX - Capital Power Corp: Sold 2.0000 shares (executed at 2024-11-25)</x:v>
      </x:c>
      <x:c r="N109" s="2" t="str">
        <x:v>Imported</x:v>
      </x:c>
      <x:c r="O109" s="17" t="n">
        <x:f>IF(F109="BUY",G109,IF(F109="SELL",-G109,IF(AND(F109="STKREORG",N109="Applied 4-for-1 CDR split"),G109,0)))</x:f>
        <x:v>-2</x:v>
      </x:c>
      <x:c r="P109" s="17" t="n">
        <x:f>SUMIF($E$6:E108,E109,$O$6:O108)</x:f>
        <x:v>2</x:v>
      </x:c>
      <x:c r="Q109" s="18" t="n">
        <x:f>SUMIF($E$6:E108,E109,$S$6:S108)</x:f>
        <x:v>101.06</x:v>
      </x:c>
      <x:c r="R109" s="18" t="n">
        <x:f>IF(P109&gt;0,Q109/P109,0)</x:f>
        <x:v>50.53</x:v>
      </x:c>
      <x:c r="S109" s="18" t="n">
        <x:f>IF(F109="BUY",-H109,IF(F109="SELL",-G109*R109,0))</x:f>
        <x:v>-101.06</x:v>
      </x:c>
      <x:c r="T109" s="18" t="n">
        <x:f>IF(F109="SELL",IF(G109&gt;P109+0.000001,"REVIEW",H109-G109*R109),0)</x:f>
        <x:v>21</x:v>
      </x:c>
      <x:c r="U109" s="17" t="n">
        <x:f>P109+O109</x:f>
        <x:v>0</x:v>
      </x:c>
      <x:c r="V109" s="18" t="n">
        <x:f>Q109+S109</x:f>
        <x:v>0</x:v>
      </x:c>
      <x:c r="W109" s="18" t="n">
        <x:f>IF(F109="DIV",H109,0)</x:f>
        <x:v>0</x:v>
      </x:c>
      <x:c r="X109" s="18" t="n">
        <x:f>IF(F109="CONT",H109,0)</x:f>
        <x:v>0</x:v>
      </x:c>
      <x:c r="Y109" s="2" t="str">
        <x:f>TEXT(C109,"yyyy-mm")</x:f>
        <x:v>2024-11</x:v>
      </x:c>
      <x:c r="Z109" s="2" t="str">
        <x:f>IF(OR(AND(F109="STKREORG",N109&lt;&gt;"Applied 4-for-1 CDR split"),AND(F109="SELL",G109&gt;P109+0.000001)),"REVIEW","OK")</x:f>
        <x:v>OK</x:v>
      </x:c>
    </x:row>
    <x:row r="110" ht="21" customHeight="1">
      <x:c r="A110" s="2"/>
      <x:c r="B110" s="2" t="str">
        <x:v>f1ca300f2f2c0c08957b</x:v>
      </x:c>
      <x:c r="C110" s="16" t="d">
        <x:v>2024-11-26T00:00:00.000Z</x:v>
      </x:c>
      <x:c r="D110" s="16" t="d">
        <x:v>2024-11-25T00:00:00.000Z</x:v>
      </x:c>
      <x:c r="E110" s="2" t="str">
        <x:v>VDY_ORD</x:v>
      </x:c>
      <x:c r="F110" s="2" t="str">
        <x:v>BUY</x:v>
      </x:c>
      <x:c r="G110" s="17" t="n">
        <x:v>0.5156</x:v>
      </x:c>
      <x:c r="H110" s="18" t="n">
        <x:v>-26.15</x:v>
      </x:c>
      <x:c r="I110" s="18" t="str">
        <x:v>CAD</x:v>
      </x:c>
      <x:c r="J110" s="18" t="n">
        <x:v>0</x:v>
      </x:c>
      <x:c r="K110" s="2" t="str">
        <x:v>TFSA-monthly-statement-transactions-DEMO_CAD-2024-11-01 (1).csv</x:v>
      </x:c>
      <x:c r="L110" s="2" t="n">
        <x:v>14</x:v>
      </x:c>
      <x:c r="M110" s="2" t="str">
        <x:v>VDY - Vanguard FTSE Canadian High Dividend Yield Index ETF: Bought 0.5156 shares (executed at 2024-11-25)</x:v>
      </x:c>
      <x:c r="N110" s="2" t="str">
        <x:v>Imported</x:v>
      </x:c>
      <x:c r="O110" s="17" t="n">
        <x:f>IF(F110="BUY",G110,IF(F110="SELL",-G110,IF(AND(F110="STKREORG",N110="Applied 4-for-1 CDR split"),G110,0)))</x:f>
        <x:v>0.5156</x:v>
      </x:c>
      <x:c r="P110" s="17" t="n">
        <x:f>SUMIF($E$6:E109,E110,$O$6:O109)</x:f>
        <x:v>27.9972</x:v>
      </x:c>
      <x:c r="Q110" s="18" t="n">
        <x:f>SUMIF($E$6:E109,E110,$S$6:S109)</x:f>
        <x:v>1357.796037569494</x:v>
      </x:c>
      <x:c r="R110" s="18" t="n">
        <x:f>IF(P110&gt;0,Q110/P110,0)</x:f>
        <x:v>48.497565384020334</x:v>
      </x:c>
      <x:c r="S110" s="18" t="n">
        <x:f>IF(F110="BUY",-H110,IF(F110="SELL",-G110*R110,0))</x:f>
        <x:v>26.15</x:v>
      </x:c>
      <x:c r="T110" s="18" t="n">
        <x:f>IF(F110="SELL",IF(G110&gt;P110+0.000001,"REVIEW",H110-G110*R110),0)</x:f>
        <x:v>0</x:v>
      </x:c>
      <x:c r="U110" s="17" t="n">
        <x:f>P110+O110</x:f>
        <x:v>28.5128</x:v>
      </x:c>
      <x:c r="V110" s="18" t="n">
        <x:f>Q110+S110</x:f>
        <x:v>1383.9460375694941</x:v>
      </x:c>
      <x:c r="W110" s="18" t="n">
        <x:f>IF(F110="DIV",H110,0)</x:f>
        <x:v>0</x:v>
      </x:c>
      <x:c r="X110" s="18" t="n">
        <x:f>IF(F110="CONT",H110,0)</x:f>
        <x:v>0</x:v>
      </x:c>
      <x:c r="Y110" s="2" t="str">
        <x:f>TEXT(C110,"yyyy-mm")</x:f>
        <x:v>2024-11</x:v>
      </x:c>
      <x:c r="Z110" s="2" t="str">
        <x:f>IF(OR(AND(F110="STKREORG",N110&lt;&gt;"Applied 4-for-1 CDR split"),AND(F110="SELL",G110&gt;P110+0.000001)),"REVIEW","OK")</x:f>
        <x:v>OK</x:v>
      </x:c>
    </x:row>
    <x:row r="111" ht="21" customHeight="1">
      <x:c r="A111" s="2"/>
      <x:c r="B111" s="2" t="str">
        <x:v>1d7171acd673c9d50cbb</x:v>
      </x:c>
      <x:c r="C111" s="16" t="d">
        <x:v>2024-12-02T00:00:00.000Z</x:v>
      </x:c>
      <x:c r="D111" s="16" t="d">
        <x:v>2024-12-02T00:00:00.000Z</x:v>
      </x:c>
      <x:c r="E111" s="2" t="str">
        <x:v>ENB_ORD</x:v>
      </x:c>
      <x:c r="F111" s="2" t="str">
        <x:v>DIV</x:v>
      </x:c>
      <x:c r="G111" s="17" t="n">
        <x:v>0</x:v>
      </x:c>
      <x:c r="H111" s="18" t="n">
        <x:v>5.49</x:v>
      </x:c>
      <x:c r="I111" s="18" t="str">
        <x:v>CAD</x:v>
      </x:c>
      <x:c r="J111" s="18" t="n">
        <x:v>5.49</x:v>
      </x:c>
      <x:c r="K111" s="2" t="str">
        <x:v>TFSA-monthly-statement-transactions-DEMO_CAD-2024-12-01.csv</x:v>
      </x:c>
      <x:c r="L111" s="2" t="n">
        <x:v>2</x:v>
      </x:c>
      <x:c r="M111" s="2" t="str">
        <x:v>ENB - Enbridge Inc: Cash dividend distribution, received on 2024-12-02, record date of 2024-11-15</x:v>
      </x:c>
      <x:c r="N111" s="2" t="str">
        <x:v>Imported</x:v>
      </x:c>
      <x:c r="O111" s="17" t="n">
        <x:f>IF(F111="BUY",G111,IF(F111="SELL",-G111,IF(AND(F111="STKREORG",N111="Applied 4-for-1 CDR split"),G111,0)))</x:f>
        <x:v>0</x:v>
      </x:c>
      <x:c r="P111" s="17" t="n">
        <x:f>SUMIF($E$6:E110,E111,$O$6:O110)</x:f>
        <x:v>0</x:v>
      </x:c>
      <x:c r="Q111" s="18" t="n">
        <x:f>SUMIF($E$6:E110,E111,$S$6:S110)</x:f>
        <x:v>0</x:v>
      </x:c>
      <x:c r="R111" s="18" t="n">
        <x:f>IF(P111&gt;0,Q111/P111,0)</x:f>
        <x:v>0</x:v>
      </x:c>
      <x:c r="S111" s="18" t="n">
        <x:f>IF(F111="BUY",-H111,IF(F111="SELL",-G111*R111,0))</x:f>
        <x:v>0</x:v>
      </x:c>
      <x:c r="T111" s="18" t="n">
        <x:f>IF(F111="SELL",IF(G111&gt;P111+0.000001,"REVIEW",H111-G111*R111),0)</x:f>
        <x:v>0</x:v>
      </x:c>
      <x:c r="U111" s="17" t="n">
        <x:f>P111+O111</x:f>
        <x:v>0</x:v>
      </x:c>
      <x:c r="V111" s="18" t="n">
        <x:f>Q111+S111</x:f>
        <x:v>0</x:v>
      </x:c>
      <x:c r="W111" s="18" t="n">
        <x:f>IF(F111="DIV",H111,0)</x:f>
        <x:v>5.49</x:v>
      </x:c>
      <x:c r="X111" s="18" t="n">
        <x:f>IF(F111="CONT",H111,0)</x:f>
        <x:v>0</x:v>
      </x:c>
      <x:c r="Y111" s="2" t="str">
        <x:f>TEXT(C111,"yyyy-mm")</x:f>
        <x:v>2024-12</x:v>
      </x:c>
      <x:c r="Z111" s="2" t="str">
        <x:f>IF(OR(AND(F111="STKREORG",N111&lt;&gt;"Applied 4-for-1 CDR split"),AND(F111="SELL",G111&gt;P111+0.000001)),"REVIEW","OK")</x:f>
        <x:v>OK</x:v>
      </x:c>
    </x:row>
    <x:row r="112" ht="21" customHeight="1">
      <x:c r="A112" s="2"/>
      <x:c r="B112" s="2" t="str">
        <x:v>101c1e4873cb1ca647ba</x:v>
      </x:c>
      <x:c r="C112" s="16" t="d">
        <x:v>2024-12-06T00:00:00.000Z</x:v>
      </x:c>
      <x:c r="D112" s="16" t="d">
        <x:v>2024-12-06T00:00:00.000Z</x:v>
      </x:c>
      <x:c r="E112" s="2" t="str">
        <x:v>VDY_ORD</x:v>
      </x:c>
      <x:c r="F112" s="2" t="str">
        <x:v>DIV</x:v>
      </x:c>
      <x:c r="G112" s="17" t="n">
        <x:v>0</x:v>
      </x:c>
      <x:c r="H112" s="18" t="n">
        <x:v>5.04</x:v>
      </x:c>
      <x:c r="I112" s="18" t="str">
        <x:v>CAD</x:v>
      </x:c>
      <x:c r="J112" s="18" t="n">
        <x:v>10.53</x:v>
      </x:c>
      <x:c r="K112" s="2" t="str">
        <x:v>TFSA-monthly-statement-transactions-DEMO_CAD-2024-12-01.csv</x:v>
      </x:c>
      <x:c r="L112" s="2" t="n">
        <x:v>3</x:v>
      </x:c>
      <x:c r="M112" s="2" t="str">
        <x:v>VDY - Vanguard FTSE Canadian High Dividend Yield Index ETF: Cash dividend distribution, received on 2024-12-06, record date of 2024-11-29</x:v>
      </x:c>
      <x:c r="N112" s="2" t="str">
        <x:v>Imported</x:v>
      </x:c>
      <x:c r="O112" s="17" t="n">
        <x:f>IF(F112="BUY",G112,IF(F112="SELL",-G112,IF(AND(F112="STKREORG",N112="Applied 4-for-1 CDR split"),G112,0)))</x:f>
        <x:v>0</x:v>
      </x:c>
      <x:c r="P112" s="17" t="n">
        <x:f>SUMIF($E$6:E111,E112,$O$6:O111)</x:f>
        <x:v>28.5128</x:v>
      </x:c>
      <x:c r="Q112" s="18" t="n">
        <x:f>SUMIF($E$6:E111,E112,$S$6:S111)</x:f>
        <x:v>1383.9460375694941</x:v>
      </x:c>
      <x:c r="R112" s="18" t="n">
        <x:f>IF(P112&gt;0,Q112/P112,0)</x:f>
        <x:v>48.537710697283124</x:v>
      </x:c>
      <x:c r="S112" s="18" t="n">
        <x:f>IF(F112="BUY",-H112,IF(F112="SELL",-G112*R112,0))</x:f>
        <x:v>0</x:v>
      </x:c>
      <x:c r="T112" s="18" t="n">
        <x:f>IF(F112="SELL",IF(G112&gt;P112+0.000001,"REVIEW",H112-G112*R112),0)</x:f>
        <x:v>0</x:v>
      </x:c>
      <x:c r="U112" s="17" t="n">
        <x:f>P112+O112</x:f>
        <x:v>28.5128</x:v>
      </x:c>
      <x:c r="V112" s="18" t="n">
        <x:f>Q112+S112</x:f>
        <x:v>1383.9460375694941</x:v>
      </x:c>
      <x:c r="W112" s="18" t="n">
        <x:f>IF(F112="DIV",H112,0)</x:f>
        <x:v>5.04</x:v>
      </x:c>
      <x:c r="X112" s="18" t="n">
        <x:f>IF(F112="CONT",H112,0)</x:f>
        <x:v>0</x:v>
      </x:c>
      <x:c r="Y112" s="2" t="str">
        <x:f>TEXT(C112,"yyyy-mm")</x:f>
        <x:v>2024-12</x:v>
      </x:c>
      <x:c r="Z112" s="2" t="str">
        <x:f>IF(OR(AND(F112="STKREORG",N112&lt;&gt;"Applied 4-for-1 CDR split"),AND(F112="SELL",G112&gt;P112+0.000001)),"REVIEW","OK")</x:f>
        <x:v>OK</x:v>
      </x:c>
    </x:row>
    <x:row r="113" ht="21" customHeight="1">
      <x:c r="A113" s="2"/>
      <x:c r="B113" s="2" t="str">
        <x:v>18f96b5742b78041614b</x:v>
      </x:c>
      <x:c r="C113" s="16" t="d">
        <x:v>2024-12-08T00:00:00.000Z</x:v>
      </x:c>
      <x:c r="D113" s="16" t="d">
        <x:v>2024-12-08T00:00:00.000Z</x:v>
      </x:c>
      <x:c r="E113" s="2" t="str"/>
      <x:c r="F113" s="2" t="str">
        <x:v>CONT</x:v>
      </x:c>
      <x:c r="G113" s="17" t="n">
        <x:v>0</x:v>
      </x:c>
      <x:c r="H113" s="18" t="n">
        <x:v>1000</x:v>
      </x:c>
      <x:c r="I113" s="18" t="str">
        <x:v>CAD</x:v>
      </x:c>
      <x:c r="J113" s="18" t="n">
        <x:v>1010.53</x:v>
      </x:c>
      <x:c r="K113" s="2" t="str">
        <x:v>TFSA-monthly-statement-transactions-DEMO_CAD-2024-12-01.csv</x:v>
      </x:c>
      <x:c r="L113" s="2" t="n">
        <x:v>4</x:v>
      </x:c>
      <x:c r="M113" s="2" t="str">
        <x:v>Contribution (executed at 2024-12-08)</x:v>
      </x:c>
      <x:c r="N113" s="2" t="str">
        <x:v>Imported</x:v>
      </x:c>
      <x:c r="O113" s="17" t="n">
        <x:f>IF(F113="BUY",G113,IF(F113="SELL",-G113,IF(AND(F113="STKREORG",N113="Applied 4-for-1 CDR split"),G113,0)))</x:f>
        <x:v>0</x:v>
      </x:c>
      <x:c r="P113" s="17" t="n">
        <x:f>SUMIF($E$6:E112,E113,$O$6:O112)</x:f>
        <x:v>0</x:v>
      </x:c>
      <x:c r="Q113" s="18" t="n">
        <x:f>SUMIF($E$6:E112,E113,$S$6:S112)</x:f>
        <x:v>0</x:v>
      </x:c>
      <x:c r="R113" s="18" t="n">
        <x:f>IF(P113&gt;0,Q113/P113,0)</x:f>
        <x:v>0</x:v>
      </x:c>
      <x:c r="S113" s="18" t="n">
        <x:f>IF(F113="BUY",-H113,IF(F113="SELL",-G113*R113,0))</x:f>
        <x:v>0</x:v>
      </x:c>
      <x:c r="T113" s="18" t="n">
        <x:f>IF(F113="SELL",IF(G113&gt;P113+0.000001,"REVIEW",H113-G113*R113),0)</x:f>
        <x:v>0</x:v>
      </x:c>
      <x:c r="U113" s="17" t="n">
        <x:f>P113+O113</x:f>
        <x:v>0</x:v>
      </x:c>
      <x:c r="V113" s="18" t="n">
        <x:f>Q113+S113</x:f>
        <x:v>0</x:v>
      </x:c>
      <x:c r="W113" s="18" t="n">
        <x:f>IF(F113="DIV",H113,0)</x:f>
        <x:v>0</x:v>
      </x:c>
      <x:c r="X113" s="18" t="n">
        <x:f>IF(F113="CONT",H113,0)</x:f>
        <x:v>1000</x:v>
      </x:c>
      <x:c r="Y113" s="2" t="str">
        <x:f>TEXT(C113,"yyyy-mm")</x:f>
        <x:v>2024-12</x:v>
      </x:c>
      <x:c r="Z113" s="2" t="str">
        <x:f>IF(OR(AND(F113="STKREORG",N113&lt;&gt;"Applied 4-for-1 CDR split"),AND(F113="SELL",G113&gt;P113+0.000001)),"REVIEW","OK")</x:f>
        <x:v>OK</x:v>
      </x:c>
    </x:row>
    <x:row r="114" ht="21" customHeight="1">
      <x:c r="A114" s="2"/>
      <x:c r="B114" s="2" t="str">
        <x:v>43a7297e7f3bdb39961b</x:v>
      </x:c>
      <x:c r="C114" s="16" t="d">
        <x:v>2024-12-11T00:00:00.000Z</x:v>
      </x:c>
      <x:c r="D114" s="16" t="d">
        <x:v>2024-12-10T00:00:00.000Z</x:v>
      </x:c>
      <x:c r="E114" s="2" t="str">
        <x:v>CPX_ORD</x:v>
      </x:c>
      <x:c r="F114" s="2" t="str">
        <x:v>BUY</x:v>
      </x:c>
      <x:c r="G114" s="17" t="n">
        <x:v>8</x:v>
      </x:c>
      <x:c r="H114" s="18" t="n">
        <x:v>-491.84</x:v>
      </x:c>
      <x:c r="I114" s="18" t="str">
        <x:v>CAD</x:v>
      </x:c>
      <x:c r="J114" s="18" t="n">
        <x:v>518.69</x:v>
      </x:c>
      <x:c r="K114" s="2" t="str">
        <x:v>TFSA-monthly-statement-transactions-DEMO_CAD-2024-12-01.csv</x:v>
      </x:c>
      <x:c r="L114" s="2" t="n">
        <x:v>5</x:v>
      </x:c>
      <x:c r="M114" s="2" t="str">
        <x:v>CPX - Capital Power Corp: Bought 8.0000 shares (executed at 2024-12-10)</x:v>
      </x:c>
      <x:c r="N114" s="2" t="str">
        <x:v>Imported</x:v>
      </x:c>
      <x:c r="O114" s="17" t="n">
        <x:f>IF(F114="BUY",G114,IF(F114="SELL",-G114,IF(AND(F114="STKREORG",N114="Applied 4-for-1 CDR split"),G114,0)))</x:f>
        <x:v>8</x:v>
      </x:c>
      <x:c r="P114" s="17" t="n">
        <x:f>SUMIF($E$6:E113,E114,$O$6:O113)</x:f>
        <x:v>0</x:v>
      </x:c>
      <x:c r="Q114" s="18" t="n">
        <x:f>SUMIF($E$6:E113,E114,$S$6:S113)</x:f>
        <x:v>0</x:v>
      </x:c>
      <x:c r="R114" s="18" t="n">
        <x:f>IF(P114&gt;0,Q114/P114,0)</x:f>
        <x:v>0</x:v>
      </x:c>
      <x:c r="S114" s="18" t="n">
        <x:f>IF(F114="BUY",-H114,IF(F114="SELL",-G114*R114,0))</x:f>
        <x:v>491.84</x:v>
      </x:c>
      <x:c r="T114" s="18" t="n">
        <x:f>IF(F114="SELL",IF(G114&gt;P114+0.000001,"REVIEW",H114-G114*R114),0)</x:f>
        <x:v>0</x:v>
      </x:c>
      <x:c r="U114" s="17" t="n">
        <x:f>P114+O114</x:f>
        <x:v>8</x:v>
      </x:c>
      <x:c r="V114" s="18" t="n">
        <x:f>Q114+S114</x:f>
        <x:v>491.84</x:v>
      </x:c>
      <x:c r="W114" s="18" t="n">
        <x:f>IF(F114="DIV",H114,0)</x:f>
        <x:v>0</x:v>
      </x:c>
      <x:c r="X114" s="18" t="n">
        <x:f>IF(F114="CONT",H114,0)</x:f>
        <x:v>0</x:v>
      </x:c>
      <x:c r="Y114" s="2" t="str">
        <x:f>TEXT(C114,"yyyy-mm")</x:f>
        <x:v>2024-12</x:v>
      </x:c>
      <x:c r="Z114" s="2" t="str">
        <x:f>IF(OR(AND(F114="STKREORG",N114&lt;&gt;"Applied 4-for-1 CDR split"),AND(F114="SELL",G114&gt;P114+0.000001)),"REVIEW","OK")</x:f>
        <x:v>OK</x:v>
      </x:c>
    </x:row>
    <x:row r="115" ht="21" customHeight="1">
      <x:c r="A115" s="2"/>
      <x:c r="B115" s="2" t="str">
        <x:v>e1be6325b305aa346eae</x:v>
      </x:c>
      <x:c r="C115" s="16" t="d">
        <x:v>2024-12-11T00:00:00.000Z</x:v>
      </x:c>
      <x:c r="D115" s="16" t="d">
        <x:v>2024-12-10T00:00:00.000Z</x:v>
      </x:c>
      <x:c r="E115" s="2" t="str">
        <x:v>TEC_ORD</x:v>
      </x:c>
      <x:c r="F115" s="2" t="str">
        <x:v>BUY</x:v>
      </x:c>
      <x:c r="G115" s="17" t="n">
        <x:v>11</x:v>
      </x:c>
      <x:c r="H115" s="18" t="n">
        <x:v>-505.89</x:v>
      </x:c>
      <x:c r="I115" s="18" t="str">
        <x:v>CAD</x:v>
      </x:c>
      <x:c r="J115" s="18" t="n">
        <x:v>12.8</x:v>
      </x:c>
      <x:c r="K115" s="2" t="str">
        <x:v>TFSA-monthly-statement-transactions-DEMO_CAD-2024-12-01.csv</x:v>
      </x:c>
      <x:c r="L115" s="2" t="n">
        <x:v>6</x:v>
      </x:c>
      <x:c r="M115" s="2" t="str">
        <x:v>TEC - TD Global Tech Leaders Index ETF: Bought 11.0000 shares (executed at 2024-12-10)</x:v>
      </x:c>
      <x:c r="N115" s="2" t="str">
        <x:v>Imported</x:v>
      </x:c>
      <x:c r="O115" s="17" t="n">
        <x:f>IF(F115="BUY",G115,IF(F115="SELL",-G115,IF(AND(F115="STKREORG",N115="Applied 4-for-1 CDR split"),G115,0)))</x:f>
        <x:v>11</x:v>
      </x:c>
      <x:c r="P115" s="17" t="n">
        <x:f>SUMIF($E$6:E114,E115,$O$6:O114)</x:f>
        <x:v>-8.881784197001252e-16</x:v>
      </x:c>
      <x:c r="Q115" s="18" t="n">
        <x:f>SUMIF($E$6:E114,E115,$S$6:S114)</x:f>
        <x:v>-5.684341886080802e-14</x:v>
      </x:c>
      <x:c r="R115" s="18" t="n">
        <x:f>IF(P115&gt;0,Q115/P115,0)</x:f>
        <x:v>0</x:v>
      </x:c>
      <x:c r="S115" s="18" t="n">
        <x:f>IF(F115="BUY",-H115,IF(F115="SELL",-G115*R115,0))</x:f>
        <x:v>505.89</x:v>
      </x:c>
      <x:c r="T115" s="18" t="n">
        <x:f>IF(F115="SELL",IF(G115&gt;P115+0.000001,"REVIEW",H115-G115*R115),0)</x:f>
        <x:v>0</x:v>
      </x:c>
      <x:c r="U115" s="17" t="n">
        <x:f>P115+O115</x:f>
        <x:v>11</x:v>
      </x:c>
      <x:c r="V115" s="18" t="n">
        <x:f>Q115+S115</x:f>
        <x:v>505.88999999999993</x:v>
      </x:c>
      <x:c r="W115" s="18" t="n">
        <x:f>IF(F115="DIV",H115,0)</x:f>
        <x:v>0</x:v>
      </x:c>
      <x:c r="X115" s="18" t="n">
        <x:f>IF(F115="CONT",H115,0)</x:f>
        <x:v>0</x:v>
      </x:c>
      <x:c r="Y115" s="2" t="str">
        <x:f>TEXT(C115,"yyyy-mm")</x:f>
        <x:v>2024-12</x:v>
      </x:c>
      <x:c r="Z115" s="2" t="str">
        <x:f>IF(OR(AND(F115="STKREORG",N115&lt;&gt;"Applied 4-for-1 CDR split"),AND(F115="SELL",G115&gt;P115+0.000001)),"REVIEW","OK")</x:f>
        <x:v>OK</x:v>
      </x:c>
    </x:row>
    <x:row r="116" ht="21" customHeight="1">
      <x:c r="A116" s="2"/>
      <x:c r="B116" s="2" t="str">
        <x:v>124afe669556e1ad159d</x:v>
      </x:c>
      <x:c r="C116" s="16" t="d">
        <x:v>2024-12-12T00:00:00.000Z</x:v>
      </x:c>
      <x:c r="D116" s="16" t="d">
        <x:v>2024-12-11T00:00:00.000Z</x:v>
      </x:c>
      <x:c r="E116" s="2" t="str">
        <x:v>VFV_ORD</x:v>
      </x:c>
      <x:c r="F116" s="2" t="str">
        <x:v>BUY</x:v>
      </x:c>
      <x:c r="G116" s="17" t="n">
        <x:v>5</x:v>
      </x:c>
      <x:c r="H116" s="18" t="n">
        <x:v>-766.05</x:v>
      </x:c>
      <x:c r="I116" s="18" t="str">
        <x:v>CAD</x:v>
      </x:c>
      <x:c r="J116" s="18" t="n">
        <x:v>-753.25</x:v>
      </x:c>
      <x:c r="K116" s="2" t="str">
        <x:v>TFSA-monthly-statement-transactions-DEMO_CAD-2024-12-01.csv</x:v>
      </x:c>
      <x:c r="L116" s="2" t="n">
        <x:v>7</x:v>
      </x:c>
      <x:c r="M116" s="2" t="str">
        <x:v>VFV - Vanguard S&amp;P 500 Index ETF: Bought 5.0000 shares (executed at 2024-12-11)</x:v>
      </x:c>
      <x:c r="N116" s="2" t="str">
        <x:v>Imported</x:v>
      </x:c>
      <x:c r="O116" s="17" t="n">
        <x:f>IF(F116="BUY",G116,IF(F116="SELL",-G116,IF(AND(F116="STKREORG",N116="Applied 4-for-1 CDR split"),G116,0)))</x:f>
        <x:v>5</x:v>
      </x:c>
      <x:c r="P116" s="17" t="n">
        <x:f>SUMIF($E$6:E115,E116,$O$6:O115)</x:f>
        <x:v>26.2453</x:v>
      </x:c>
      <x:c r="Q116" s="18" t="n">
        <x:f>SUMIF($E$6:E115,E116,$S$6:S115)</x:f>
        <x:v>3701.83</x:v>
      </x:c>
      <x:c r="R116" s="18" t="n">
        <x:f>IF(P116&gt;0,Q116/P116,0)</x:f>
        <x:v>141.0473494301837</x:v>
      </x:c>
      <x:c r="S116" s="18" t="n">
        <x:f>IF(F116="BUY",-H116,IF(F116="SELL",-G116*R116,0))</x:f>
        <x:v>766.05</x:v>
      </x:c>
      <x:c r="T116" s="18" t="n">
        <x:f>IF(F116="SELL",IF(G116&gt;P116+0.000001,"REVIEW",H116-G116*R116),0)</x:f>
        <x:v>0</x:v>
      </x:c>
      <x:c r="U116" s="17" t="n">
        <x:f>P116+O116</x:f>
        <x:v>31.2453</x:v>
      </x:c>
      <x:c r="V116" s="18" t="n">
        <x:f>Q116+S116</x:f>
        <x:v>4467.88</x:v>
      </x:c>
      <x:c r="W116" s="18" t="n">
        <x:f>IF(F116="DIV",H116,0)</x:f>
        <x:v>0</x:v>
      </x:c>
      <x:c r="X116" s="18" t="n">
        <x:f>IF(F116="CONT",H116,0)</x:f>
        <x:v>0</x:v>
      </x:c>
      <x:c r="Y116" s="2" t="str">
        <x:f>TEXT(C116,"yyyy-mm")</x:f>
        <x:v>2024-12</x:v>
      </x:c>
      <x:c r="Z116" s="2" t="str">
        <x:f>IF(OR(AND(F116="STKREORG",N116&lt;&gt;"Applied 4-for-1 CDR split"),AND(F116="SELL",G116&gt;P116+0.000001)),"REVIEW","OK")</x:f>
        <x:v>OK</x:v>
      </x:c>
    </x:row>
    <x:row r="117" ht="21" customHeight="1">
      <x:c r="A117" s="2"/>
      <x:c r="B117" s="2" t="str">
        <x:v>221879477aa84326d485</x:v>
      </x:c>
      <x:c r="C117" s="16" t="d">
        <x:v>2024-12-12T00:00:00.000Z</x:v>
      </x:c>
      <x:c r="D117" s="16" t="d">
        <x:v>2024-12-11T00:00:00.000Z</x:v>
      </x:c>
      <x:c r="E117" s="2" t="str">
        <x:v>VDY_ORD</x:v>
      </x:c>
      <x:c r="F117" s="2" t="str">
        <x:v>SELL</x:v>
      </x:c>
      <x:c r="G117" s="17" t="n">
        <x:v>28</x:v>
      </x:c>
      <x:c r="H117" s="18" t="n">
        <x:v>1412.32</x:v>
      </x:c>
      <x:c r="I117" s="18" t="str">
        <x:v>CAD</x:v>
      </x:c>
      <x:c r="J117" s="18" t="n">
        <x:v>659.07</x:v>
      </x:c>
      <x:c r="K117" s="2" t="str">
        <x:v>TFSA-monthly-statement-transactions-DEMO_CAD-2024-12-01.csv</x:v>
      </x:c>
      <x:c r="L117" s="2" t="n">
        <x:v>8</x:v>
      </x:c>
      <x:c r="M117" s="2" t="str">
        <x:v>VDY - Vanguard FTSE Canadian High Dividend Yield Index ETF: Sold 28.0000 shares (executed at 2024-12-11)</x:v>
      </x:c>
      <x:c r="N117" s="2" t="str">
        <x:v>Imported</x:v>
      </x:c>
      <x:c r="O117" s="17" t="n">
        <x:f>IF(F117="BUY",G117,IF(F117="SELL",-G117,IF(AND(F117="STKREORG",N117="Applied 4-for-1 CDR split"),G117,0)))</x:f>
        <x:v>-28</x:v>
      </x:c>
      <x:c r="P117" s="17" t="n">
        <x:f>SUMIF($E$6:E116,E117,$O$6:O116)</x:f>
        <x:v>28.5128</x:v>
      </x:c>
      <x:c r="Q117" s="18" t="n">
        <x:f>SUMIF($E$6:E116,E117,$S$6:S116)</x:f>
        <x:v>1383.9460375694941</x:v>
      </x:c>
      <x:c r="R117" s="18" t="n">
        <x:f>IF(P117&gt;0,Q117/P117,0)</x:f>
        <x:v>48.537710697283124</x:v>
      </x:c>
      <x:c r="S117" s="18" t="n">
        <x:f>IF(F117="BUY",-H117,IF(F117="SELL",-G117*R117,0))</x:f>
        <x:v>-1359.0558995239276</x:v>
      </x:c>
      <x:c r="T117" s="18" t="n">
        <x:f>IF(F117="SELL",IF(G117&gt;P117+0.000001,"REVIEW",H117-G117*R117),0)</x:f>
        <x:v>53.26410047607237</x:v>
      </x:c>
      <x:c r="U117" s="17" t="n">
        <x:f>P117+O117</x:f>
        <x:v>0.5127999999999986</x:v>
      </x:c>
      <x:c r="V117" s="18" t="n">
        <x:f>Q117+S117</x:f>
        <x:v>24.890138045566573</x:v>
      </x:c>
      <x:c r="W117" s="18" t="n">
        <x:f>IF(F117="DIV",H117,0)</x:f>
        <x:v>0</x:v>
      </x:c>
      <x:c r="X117" s="18" t="n">
        <x:f>IF(F117="CONT",H117,0)</x:f>
        <x:v>0</x:v>
      </x:c>
      <x:c r="Y117" s="2" t="str">
        <x:f>TEXT(C117,"yyyy-mm")</x:f>
        <x:v>2024-12</x:v>
      </x:c>
      <x:c r="Z117" s="2" t="str">
        <x:f>IF(OR(AND(F117="STKREORG",N117&lt;&gt;"Applied 4-for-1 CDR split"),AND(F117="SELL",G117&gt;P117+0.000001)),"REVIEW","OK")</x:f>
        <x:v>OK</x:v>
      </x:c>
    </x:row>
    <x:row r="118" ht="21" customHeight="1">
      <x:c r="A118" s="2"/>
      <x:c r="B118" s="2" t="str">
        <x:v>fc49fea94efa23bc4271</x:v>
      </x:c>
      <x:c r="C118" s="16" t="d">
        <x:v>2024-12-12T00:00:00.000Z</x:v>
      </x:c>
      <x:c r="D118" s="16" t="d">
        <x:v>2024-12-11T00:00:00.000Z</x:v>
      </x:c>
      <x:c r="E118" s="2" t="str">
        <x:v>XEQT_ORD</x:v>
      </x:c>
      <x:c r="F118" s="2" t="str">
        <x:v>BUY</x:v>
      </x:c>
      <x:c r="G118" s="17" t="n">
        <x:v>18</x:v>
      </x:c>
      <x:c r="H118" s="18" t="n">
        <x:v>-627.66</x:v>
      </x:c>
      <x:c r="I118" s="18" t="str">
        <x:v>CAD</x:v>
      </x:c>
      <x:c r="J118" s="18" t="n">
        <x:v>31.41</x:v>
      </x:c>
      <x:c r="K118" s="2" t="str">
        <x:v>TFSA-monthly-statement-transactions-DEMO_CAD-2024-12-01.csv</x:v>
      </x:c>
      <x:c r="L118" s="2" t="n">
        <x:v>9</x:v>
      </x:c>
      <x:c r="M118" s="2" t="str">
        <x:v>XEQT - iShares Core Equity ETF Portfolio: Bought 18.0000 shares (executed at 2024-12-11)</x:v>
      </x:c>
      <x:c r="N118" s="2" t="str">
        <x:v>Imported</x:v>
      </x:c>
      <x:c r="O118" s="17" t="n">
        <x:f>IF(F118="BUY",G118,IF(F118="SELL",-G118,IF(AND(F118="STKREORG",N118="Applied 4-for-1 CDR split"),G118,0)))</x:f>
        <x:v>18</x:v>
      </x:c>
      <x:c r="P118" s="17" t="n">
        <x:f>SUMIF($E$6:E117,E118,$O$6:O117)</x:f>
        <x:v>143.7133</x:v>
      </x:c>
      <x:c r="Q118" s="18" t="n">
        <x:f>SUMIF($E$6:E117,E118,$S$6:S117)</x:f>
        <x:v>4581.26</x:v>
      </x:c>
      <x:c r="R118" s="18" t="n">
        <x:f>IF(P118&gt;0,Q118/P118,0)</x:f>
        <x:v>31.877773316735475</x:v>
      </x:c>
      <x:c r="S118" s="18" t="n">
        <x:f>IF(F118="BUY",-H118,IF(F118="SELL",-G118*R118,0))</x:f>
        <x:v>627.66</x:v>
      </x:c>
      <x:c r="T118" s="18" t="n">
        <x:f>IF(F118="SELL",IF(G118&gt;P118+0.000001,"REVIEW",H118-G118*R118),0)</x:f>
        <x:v>0</x:v>
      </x:c>
      <x:c r="U118" s="17" t="n">
        <x:f>P118+O118</x:f>
        <x:v>161.7133</x:v>
      </x:c>
      <x:c r="V118" s="18" t="n">
        <x:f>Q118+S118</x:f>
        <x:v>5208.92</x:v>
      </x:c>
      <x:c r="W118" s="18" t="n">
        <x:f>IF(F118="DIV",H118,0)</x:f>
        <x:v>0</x:v>
      </x:c>
      <x:c r="X118" s="18" t="n">
        <x:f>IF(F118="CONT",H118,0)</x:f>
        <x:v>0</x:v>
      </x:c>
      <x:c r="Y118" s="2" t="str">
        <x:f>TEXT(C118,"yyyy-mm")</x:f>
        <x:v>2024-12</x:v>
      </x:c>
      <x:c r="Z118" s="2" t="str">
        <x:f>IF(OR(AND(F118="STKREORG",N118&lt;&gt;"Applied 4-for-1 CDR split"),AND(F118="SELL",G118&gt;P118+0.000001)),"REVIEW","OK")</x:f>
        <x:v>OK</x:v>
      </x:c>
    </x:row>
    <x:row r="119" ht="21" customHeight="1">
      <x:c r="A119" s="2"/>
      <x:c r="B119" s="2" t="str">
        <x:v>d34fc119f703cc38f0fb</x:v>
      </x:c>
      <x:c r="C119" s="16" t="d">
        <x:v>2024-12-13T00:00:00.000Z</x:v>
      </x:c>
      <x:c r="D119" s="16" t="d">
        <x:v>2024-12-12T00:00:00.000Z</x:v>
      </x:c>
      <x:c r="E119" s="2" t="str">
        <x:v>VDY_ORD</x:v>
      </x:c>
      <x:c r="F119" s="2" t="str">
        <x:v>SELL</x:v>
      </x:c>
      <x:c r="G119" s="17" t="n">
        <x:v>0.5128</x:v>
      </x:c>
      <x:c r="H119" s="18" t="n">
        <x:v>25.73</x:v>
      </x:c>
      <x:c r="I119" s="18" t="str">
        <x:v>CAD</x:v>
      </x:c>
      <x:c r="J119" s="18" t="n">
        <x:v>57.14</x:v>
      </x:c>
      <x:c r="K119" s="2" t="str">
        <x:v>TFSA-monthly-statement-transactions-DEMO_CAD-2024-12-01.csv</x:v>
      </x:c>
      <x:c r="L119" s="2" t="n">
        <x:v>10</x:v>
      </x:c>
      <x:c r="M119" s="2" t="str">
        <x:v>VDY - Vanguard FTSE Canadian High Dividend Yield Index ETF: Sold 0.5128 shares (executed at 2024-12-12)</x:v>
      </x:c>
      <x:c r="N119" s="2" t="str">
        <x:v>Imported</x:v>
      </x:c>
      <x:c r="O119" s="17" t="n">
        <x:f>IF(F119="BUY",G119,IF(F119="SELL",-G119,IF(AND(F119="STKREORG",N119="Applied 4-for-1 CDR split"),G119,0)))</x:f>
        <x:v>-0.5128</x:v>
      </x:c>
      <x:c r="P119" s="17" t="n">
        <x:f>SUMIF($E$6:E118,E119,$O$6:O118)</x:f>
        <x:v>0.5127999999999986</x:v>
      </x:c>
      <x:c r="Q119" s="18" t="n">
        <x:f>SUMIF($E$6:E118,E119,$S$6:S118)</x:f>
        <x:v>24.890138045566573</x:v>
      </x:c>
      <x:c r="R119" s="18" t="n">
        <x:f>IF(P119&gt;0,Q119/P119,0)</x:f>
        <x:v>48.53771069728284</x:v>
      </x:c>
      <x:c r="S119" s="18" t="n">
        <x:f>IF(F119="BUY",-H119,IF(F119="SELL",-G119*R119,0))</x:f>
        <x:v>-24.89013804556664</x:v>
      </x:c>
      <x:c r="T119" s="18" t="n">
        <x:f>IF(F119="SELL",IF(G119&gt;P119+0.000001,"REVIEW",H119-G119*R119),0)</x:f>
        <x:v>0.8398619544333599</x:v>
      </x:c>
      <x:c r="U119" s="17" t="n">
        <x:f>P119+O119</x:f>
        <x:v>-1.4432899320127035e-15</x:v>
      </x:c>
      <x:c r="V119" s="18" t="n">
        <x:f>Q119+S119</x:f>
        <x:v>-6.750155989720952e-14</x:v>
      </x:c>
      <x:c r="W119" s="18" t="n">
        <x:f>IF(F119="DIV",H119,0)</x:f>
        <x:v>0</x:v>
      </x:c>
      <x:c r="X119" s="18" t="n">
        <x:f>IF(F119="CONT",H119,0)</x:f>
        <x:v>0</x:v>
      </x:c>
      <x:c r="Y119" s="2" t="str">
        <x:f>TEXT(C119,"yyyy-mm")</x:f>
        <x:v>2024-12</x:v>
      </x:c>
      <x:c r="Z119" s="2" t="str">
        <x:f>IF(OR(AND(F119="STKREORG",N119&lt;&gt;"Applied 4-for-1 CDR split"),AND(F119="SELL",G119&gt;P119+0.000001)),"REVIEW","OK")</x:f>
        <x:v>OK</x:v>
      </x:c>
    </x:row>
    <x:row r="120" ht="21" customHeight="1">
      <x:c r="A120" s="2"/>
      <x:c r="B120" s="2" t="str">
        <x:v>924211c600105b4316ef</x:v>
      </x:c>
      <x:c r="C120" s="16" t="d">
        <x:v>2024-12-13T00:00:00.000Z</x:v>
      </x:c>
      <x:c r="D120" s="16" t="d">
        <x:v>2024-12-12T00:00:00.000Z</x:v>
      </x:c>
      <x:c r="E120" s="2" t="str">
        <x:v>XEQT_ORD</x:v>
      </x:c>
      <x:c r="F120" s="2" t="str">
        <x:v>BUY</x:v>
      </x:c>
      <x:c r="G120" s="17" t="n">
        <x:v>0.9041</x:v>
      </x:c>
      <x:c r="H120" s="18" t="n">
        <x:v>-31.41</x:v>
      </x:c>
      <x:c r="I120" s="18" t="str">
        <x:v>CAD</x:v>
      </x:c>
      <x:c r="J120" s="18" t="n">
        <x:v>25.73</x:v>
      </x:c>
      <x:c r="K120" s="2" t="str">
        <x:v>TFSA-monthly-statement-transactions-DEMO_CAD-2024-12-01.csv</x:v>
      </x:c>
      <x:c r="L120" s="2" t="n">
        <x:v>11</x:v>
      </x:c>
      <x:c r="M120" s="2" t="str">
        <x:v>XEQT - iShares Core Equity ETF Portfolio: Bought 0.9041 shares (executed at 2024-12-12)</x:v>
      </x:c>
      <x:c r="N120" s="2" t="str">
        <x:v>Imported</x:v>
      </x:c>
      <x:c r="O120" s="17" t="n">
        <x:f>IF(F120="BUY",G120,IF(F120="SELL",-G120,IF(AND(F120="STKREORG",N120="Applied 4-for-1 CDR split"),G120,0)))</x:f>
        <x:v>0.9041</x:v>
      </x:c>
      <x:c r="P120" s="17" t="n">
        <x:f>SUMIF($E$6:E119,E120,$O$6:O119)</x:f>
        <x:v>161.7133</x:v>
      </x:c>
      <x:c r="Q120" s="18" t="n">
        <x:f>SUMIF($E$6:E119,E120,$S$6:S119)</x:f>
        <x:v>5208.92</x:v>
      </x:c>
      <x:c r="R120" s="18" t="n">
        <x:f>IF(P120&gt;0,Q120/P120,0)</x:f>
        <x:v>32.21083238051539</x:v>
      </x:c>
      <x:c r="S120" s="18" t="n">
        <x:f>IF(F120="BUY",-H120,IF(F120="SELL",-G120*R120,0))</x:f>
        <x:v>31.41</x:v>
      </x:c>
      <x:c r="T120" s="18" t="n">
        <x:f>IF(F120="SELL",IF(G120&gt;P120+0.000001,"REVIEW",H120-G120*R120),0)</x:f>
        <x:v>0</x:v>
      </x:c>
      <x:c r="U120" s="17" t="n">
        <x:f>P120+O120</x:f>
        <x:v>162.6174</x:v>
      </x:c>
      <x:c r="V120" s="18" t="n">
        <x:f>Q120+S120</x:f>
        <x:v>5240.33</x:v>
      </x:c>
      <x:c r="W120" s="18" t="n">
        <x:f>IF(F120="DIV",H120,0)</x:f>
        <x:v>0</x:v>
      </x:c>
      <x:c r="X120" s="18" t="n">
        <x:f>IF(F120="CONT",H120,0)</x:f>
        <x:v>0</x:v>
      </x:c>
      <x:c r="Y120" s="2" t="str">
        <x:f>TEXT(C120,"yyyy-mm")</x:f>
        <x:v>2024-12</x:v>
      </x:c>
      <x:c r="Z120" s="2" t="str">
        <x:f>IF(OR(AND(F120="STKREORG",N120&lt;&gt;"Applied 4-for-1 CDR split"),AND(F120="SELL",G120&gt;P120+0.000001)),"REVIEW","OK")</x:f>
        <x:v>OK</x:v>
      </x:c>
    </x:row>
    <x:row r="121" ht="21" customHeight="1">
      <x:c r="A121" s="2"/>
      <x:c r="B121" s="2" t="str">
        <x:v>17b184644dbcabbd9d30</x:v>
      </x:c>
      <x:c r="C121" s="16" t="d">
        <x:v>2024-12-13T00:00:00.000Z</x:v>
      </x:c>
      <x:c r="D121" s="16" t="d">
        <x:v>2024-12-12T00:00:00.000Z</x:v>
      </x:c>
      <x:c r="E121" s="2" t="str">
        <x:v>BLN_ORD</x:v>
      </x:c>
      <x:c r="F121" s="2" t="str">
        <x:v>BUY</x:v>
      </x:c>
      <x:c r="G121" s="17" t="n">
        <x:v>4</x:v>
      </x:c>
      <x:c r="H121" s="18" t="n">
        <x:v>-25.16</x:v>
      </x:c>
      <x:c r="I121" s="18" t="str">
        <x:v>CAD</x:v>
      </x:c>
      <x:c r="J121" s="18" t="n">
        <x:v>0.57</x:v>
      </x:c>
      <x:c r="K121" s="2" t="str">
        <x:v>TFSA-monthly-statement-transactions-DEMO_CAD-2024-12-01.csv</x:v>
      </x:c>
      <x:c r="L121" s="2" t="n">
        <x:v>12</x:v>
      </x:c>
      <x:c r="M121" s="2" t="str">
        <x:v>BLN - Blackline Safety Corp: Bought 4.0000 shares (executed at 2024-12-12)</x:v>
      </x:c>
      <x:c r="N121" s="2" t="str">
        <x:v>Imported</x:v>
      </x:c>
      <x:c r="O121" s="17" t="n">
        <x:f>IF(F121="BUY",G121,IF(F121="SELL",-G121,IF(AND(F121="STKREORG",N121="Applied 4-for-1 CDR split"),G121,0)))</x:f>
        <x:v>4</x:v>
      </x:c>
      <x:c r="P121" s="17" t="n">
        <x:f>SUMIF($E$6:E120,E121,$O$6:O120)</x:f>
        <x:v>0</x:v>
      </x:c>
      <x:c r="Q121" s="18" t="n">
        <x:f>SUMIF($E$6:E120,E121,$S$6:S120)</x:f>
        <x:v>0</x:v>
      </x:c>
      <x:c r="R121" s="18" t="n">
        <x:f>IF(P121&gt;0,Q121/P121,0)</x:f>
        <x:v>0</x:v>
      </x:c>
      <x:c r="S121" s="18" t="n">
        <x:f>IF(F121="BUY",-H121,IF(F121="SELL",-G121*R121,0))</x:f>
        <x:v>25.16</x:v>
      </x:c>
      <x:c r="T121" s="18" t="n">
        <x:f>IF(F121="SELL",IF(G121&gt;P121+0.000001,"REVIEW",H121-G121*R121),0)</x:f>
        <x:v>0</x:v>
      </x:c>
      <x:c r="U121" s="17" t="n">
        <x:f>P121+O121</x:f>
        <x:v>4</x:v>
      </x:c>
      <x:c r="V121" s="18" t="n">
        <x:f>Q121+S121</x:f>
        <x:v>25.16</x:v>
      </x:c>
      <x:c r="W121" s="18" t="n">
        <x:f>IF(F121="DIV",H121,0)</x:f>
        <x:v>0</x:v>
      </x:c>
      <x:c r="X121" s="18" t="n">
        <x:f>IF(F121="CONT",H121,0)</x:f>
        <x:v>0</x:v>
      </x:c>
      <x:c r="Y121" s="2" t="str">
        <x:f>TEXT(C121,"yyyy-mm")</x:f>
        <x:v>2024-12</x:v>
      </x:c>
      <x:c r="Z121" s="2" t="str">
        <x:f>IF(OR(AND(F121="STKREORG",N121&lt;&gt;"Applied 4-for-1 CDR split"),AND(F121="SELL",G121&gt;P121+0.000001)),"REVIEW","OK")</x:f>
        <x:v>OK</x:v>
      </x:c>
    </x:row>
    <x:row r="122" ht="21" customHeight="1">
      <x:c r="A122" s="2"/>
      <x:c r="B122" s="2" t="str">
        <x:v>3ce07ef0d224fb7519c5</x:v>
      </x:c>
      <x:c r="C122" s="16" t="d">
        <x:v>2025-01-03T00:00:00.000Z</x:v>
      </x:c>
      <x:c r="D122" s="16" t="d">
        <x:v>2025-01-03T00:00:00.000Z</x:v>
      </x:c>
      <x:c r="E122" s="2" t="str">
        <x:v>XEQT_ORD</x:v>
      </x:c>
      <x:c r="F122" s="2" t="str">
        <x:v>DIV</x:v>
      </x:c>
      <x:c r="G122" s="17" t="n">
        <x:v>0</x:v>
      </x:c>
      <x:c r="H122" s="18" t="n">
        <x:v>44.76</x:v>
      </x:c>
      <x:c r="I122" s="18" t="str">
        <x:v>CAD</x:v>
      </x:c>
      <x:c r="J122" s="18" t="n">
        <x:v>45.33</x:v>
      </x:c>
      <x:c r="K122" s="2" t="str">
        <x:v>TFSA-monthly-statement-transactions-DEMO_CAD-2025-01-01.csv</x:v>
      </x:c>
      <x:c r="L122" s="2" t="n">
        <x:v>2</x:v>
      </x:c>
      <x:c r="M122" s="2" t="str">
        <x:v>XEQT - iShares Core Equity ETF Portfolio: Cash dividend distribution, received on 2025-01-03, record date of 2024-12-30</x:v>
      </x:c>
      <x:c r="N122" s="2" t="str">
        <x:v>Imported</x:v>
      </x:c>
      <x:c r="O122" s="17" t="n">
        <x:f>IF(F122="BUY",G122,IF(F122="SELL",-G122,IF(AND(F122="STKREORG",N122="Applied 4-for-1 CDR split"),G122,0)))</x:f>
        <x:v>0</x:v>
      </x:c>
      <x:c r="P122" s="17" t="n">
        <x:f>SUMIF($E$6:E121,E122,$O$6:O121)</x:f>
        <x:v>162.6174</x:v>
      </x:c>
      <x:c r="Q122" s="18" t="n">
        <x:f>SUMIF($E$6:E121,E122,$S$6:S121)</x:f>
        <x:v>5240.33</x:v>
      </x:c>
      <x:c r="R122" s="18" t="n">
        <x:f>IF(P122&gt;0,Q122/P122,0)</x:f>
        <x:v>32.22490336212484</x:v>
      </x:c>
      <x:c r="S122" s="18" t="n">
        <x:f>IF(F122="BUY",-H122,IF(F122="SELL",-G122*R122,0))</x:f>
        <x:v>0</x:v>
      </x:c>
      <x:c r="T122" s="18" t="n">
        <x:f>IF(F122="SELL",IF(G122&gt;P122+0.000001,"REVIEW",H122-G122*R122),0)</x:f>
        <x:v>0</x:v>
      </x:c>
      <x:c r="U122" s="17" t="n">
        <x:f>P122+O122</x:f>
        <x:v>162.6174</x:v>
      </x:c>
      <x:c r="V122" s="18" t="n">
        <x:f>Q122+S122</x:f>
        <x:v>5240.33</x:v>
      </x:c>
      <x:c r="W122" s="18" t="n">
        <x:f>IF(F122="DIV",H122,0)</x:f>
        <x:v>44.76</x:v>
      </x:c>
      <x:c r="X122" s="18" t="n">
        <x:f>IF(F122="CONT",H122,0)</x:f>
        <x:v>0</x:v>
      </x:c>
      <x:c r="Y122" s="2" t="str">
        <x:f>TEXT(C122,"yyyy-mm")</x:f>
        <x:v>2025-01</x:v>
      </x:c>
      <x:c r="Z122" s="2" t="str">
        <x:f>IF(OR(AND(F122="STKREORG",N122&lt;&gt;"Applied 4-for-1 CDR split"),AND(F122="SELL",G122&gt;P122+0.000001)),"REVIEW","OK")</x:f>
        <x:v>OK</x:v>
      </x:c>
    </x:row>
    <x:row r="123" ht="21" customHeight="1">
      <x:c r="A123" s="2"/>
      <x:c r="B123" s="2" t="str">
        <x:v>a7b02f3230c04ff617b7</x:v>
      </x:c>
      <x:c r="C123" s="16" t="d">
        <x:v>2025-01-06T00:00:00.000Z</x:v>
      </x:c>
      <x:c r="D123" s="16" t="d">
        <x:v>2025-01-03T00:00:00.000Z</x:v>
      </x:c>
      <x:c r="E123" s="2" t="str">
        <x:v>BLN_ORD</x:v>
      </x:c>
      <x:c r="F123" s="2" t="str">
        <x:v>SELL</x:v>
      </x:c>
      <x:c r="G123" s="17" t="n">
        <x:v>4</x:v>
      </x:c>
      <x:c r="H123" s="18" t="n">
        <x:v>26.28</x:v>
      </x:c>
      <x:c r="I123" s="18" t="str">
        <x:v>CAD</x:v>
      </x:c>
      <x:c r="J123" s="18" t="n">
        <x:v>71.61</x:v>
      </x:c>
      <x:c r="K123" s="2" t="str">
        <x:v>TFSA-monthly-statement-transactions-DEMO_CAD-2025-01-01.csv</x:v>
      </x:c>
      <x:c r="L123" s="2" t="n">
        <x:v>3</x:v>
      </x:c>
      <x:c r="M123" s="2" t="str">
        <x:v>BLN - Blackline Safety Corp: Sold 4.0000 shares (executed at 2025-01-03)</x:v>
      </x:c>
      <x:c r="N123" s="2" t="str">
        <x:v>Imported</x:v>
      </x:c>
      <x:c r="O123" s="17" t="n">
        <x:f>IF(F123="BUY",G123,IF(F123="SELL",-G123,IF(AND(F123="STKREORG",N123="Applied 4-for-1 CDR split"),G123,0)))</x:f>
        <x:v>-4</x:v>
      </x:c>
      <x:c r="P123" s="17" t="n">
        <x:f>SUMIF($E$6:E122,E123,$O$6:O122)</x:f>
        <x:v>4</x:v>
      </x:c>
      <x:c r="Q123" s="18" t="n">
        <x:f>SUMIF($E$6:E122,E123,$S$6:S122)</x:f>
        <x:v>25.16</x:v>
      </x:c>
      <x:c r="R123" s="18" t="n">
        <x:f>IF(P123&gt;0,Q123/P123,0)</x:f>
        <x:v>6.29</x:v>
      </x:c>
      <x:c r="S123" s="18" t="n">
        <x:f>IF(F123="BUY",-H123,IF(F123="SELL",-G123*R123,0))</x:f>
        <x:v>-25.16</x:v>
      </x:c>
      <x:c r="T123" s="18" t="n">
        <x:f>IF(F123="SELL",IF(G123&gt;P123+0.000001,"REVIEW",H123-G123*R123),0)</x:f>
        <x:v>1.120000000000001</x:v>
      </x:c>
      <x:c r="U123" s="17" t="n">
        <x:f>P123+O123</x:f>
        <x:v>0</x:v>
      </x:c>
      <x:c r="V123" s="18" t="n">
        <x:f>Q123+S123</x:f>
        <x:v>0</x:v>
      </x:c>
      <x:c r="W123" s="18" t="n">
        <x:f>IF(F123="DIV",H123,0)</x:f>
        <x:v>0</x:v>
      </x:c>
      <x:c r="X123" s="18" t="n">
        <x:f>IF(F123="CONT",H123,0)</x:f>
        <x:v>0</x:v>
      </x:c>
      <x:c r="Y123" s="2" t="str">
        <x:f>TEXT(C123,"yyyy-mm")</x:f>
        <x:v>2025-01</x:v>
      </x:c>
      <x:c r="Z123" s="2" t="str">
        <x:f>IF(OR(AND(F123="STKREORG",N123&lt;&gt;"Applied 4-for-1 CDR split"),AND(F123="SELL",G123&gt;P123+0.000001)),"REVIEW","OK")</x:f>
        <x:v>OK</x:v>
      </x:c>
    </x:row>
    <x:row r="124" ht="21" customHeight="1">
      <x:c r="A124" s="2"/>
      <x:c r="B124" s="2" t="str">
        <x:v>bb782a9d985f7ab1a65f</x:v>
      </x:c>
      <x:c r="C124" s="16" t="d">
        <x:v>2025-01-07T00:00:00.000Z</x:v>
      </x:c>
      <x:c r="D124" s="16" t="d">
        <x:v>2025-01-06T00:00:00.000Z</x:v>
      </x:c>
      <x:c r="E124" s="2" t="str">
        <x:v>CPX_ORD</x:v>
      </x:c>
      <x:c r="F124" s="2" t="str">
        <x:v>BUY</x:v>
      </x:c>
      <x:c r="G124" s="17" t="n">
        <x:v>1</x:v>
      </x:c>
      <x:c r="H124" s="18" t="n">
        <x:v>-63.78</x:v>
      </x:c>
      <x:c r="I124" s="18" t="str">
        <x:v>CAD</x:v>
      </x:c>
      <x:c r="J124" s="18" t="n">
        <x:v>7.83</x:v>
      </x:c>
      <x:c r="K124" s="2" t="str">
        <x:v>TFSA-monthly-statement-transactions-DEMO_CAD-2025-01-01.csv</x:v>
      </x:c>
      <x:c r="L124" s="2" t="n">
        <x:v>4</x:v>
      </x:c>
      <x:c r="M124" s="2" t="str">
        <x:v>CPX - Capital Power Corp: Bought 1.0000 shares (executed at 2025-01-06)</x:v>
      </x:c>
      <x:c r="N124" s="2" t="str">
        <x:v>Imported</x:v>
      </x:c>
      <x:c r="O124" s="17" t="n">
        <x:f>IF(F124="BUY",G124,IF(F124="SELL",-G124,IF(AND(F124="STKREORG",N124="Applied 4-for-1 CDR split"),G124,0)))</x:f>
        <x:v>1</x:v>
      </x:c>
      <x:c r="P124" s="17" t="n">
        <x:f>SUMIF($E$6:E123,E124,$O$6:O123)</x:f>
        <x:v>8</x:v>
      </x:c>
      <x:c r="Q124" s="18" t="n">
        <x:f>SUMIF($E$6:E123,E124,$S$6:S123)</x:f>
        <x:v>491.84</x:v>
      </x:c>
      <x:c r="R124" s="18" t="n">
        <x:f>IF(P124&gt;0,Q124/P124,0)</x:f>
        <x:v>61.48</x:v>
      </x:c>
      <x:c r="S124" s="18" t="n">
        <x:f>IF(F124="BUY",-H124,IF(F124="SELL",-G124*R124,0))</x:f>
        <x:v>63.78</x:v>
      </x:c>
      <x:c r="T124" s="18" t="n">
        <x:f>IF(F124="SELL",IF(G124&gt;P124+0.000001,"REVIEW",H124-G124*R124),0)</x:f>
        <x:v>0</x:v>
      </x:c>
      <x:c r="U124" s="17" t="n">
        <x:f>P124+O124</x:f>
        <x:v>9</x:v>
      </x:c>
      <x:c r="V124" s="18" t="n">
        <x:f>Q124+S124</x:f>
        <x:v>555.62</x:v>
      </x:c>
      <x:c r="W124" s="18" t="n">
        <x:f>IF(F124="DIV",H124,0)</x:f>
        <x:v>0</x:v>
      </x:c>
      <x:c r="X124" s="18" t="n">
        <x:f>IF(F124="CONT",H124,0)</x:f>
        <x:v>0</x:v>
      </x:c>
      <x:c r="Y124" s="2" t="str">
        <x:f>TEXT(C124,"yyyy-mm")</x:f>
        <x:v>2025-01</x:v>
      </x:c>
      <x:c r="Z124" s="2" t="str">
        <x:f>IF(OR(AND(F124="STKREORG",N124&lt;&gt;"Applied 4-for-1 CDR split"),AND(F124="SELL",G124&gt;P124+0.000001)),"REVIEW","OK")</x:f>
        <x:v>OK</x:v>
      </x:c>
    </x:row>
    <x:row r="125" ht="21" customHeight="1">
      <x:c r="A125" s="2"/>
      <x:c r="B125" s="2" t="str">
        <x:v>9eddc2e671e5e1a7782c</x:v>
      </x:c>
      <x:c r="C125" s="16" t="d">
        <x:v>2025-01-07T00:00:00.000Z</x:v>
      </x:c>
      <x:c r="D125" s="16" t="d">
        <x:v>2025-01-07T00:00:00.000Z</x:v>
      </x:c>
      <x:c r="E125" s="2" t="str">
        <x:v>TEC_ORD</x:v>
      </x:c>
      <x:c r="F125" s="2" t="str">
        <x:v>DIV</x:v>
      </x:c>
      <x:c r="G125" s="17" t="n">
        <x:v>0</x:v>
      </x:c>
      <x:c r="H125" s="18" t="n">
        <x:v>0.27</x:v>
      </x:c>
      <x:c r="I125" s="18" t="str">
        <x:v>CAD</x:v>
      </x:c>
      <x:c r="J125" s="18" t="n">
        <x:v>8.1</x:v>
      </x:c>
      <x:c r="K125" s="2" t="str">
        <x:v>TFSA-monthly-statement-transactions-DEMO_CAD-2025-01-01.csv</x:v>
      </x:c>
      <x:c r="L125" s="2" t="n">
        <x:v>5</x:v>
      </x:c>
      <x:c r="M125" s="2" t="str">
        <x:v>TEC - TD Global Tech Leaders Index ETF: Cash dividend distribution, received on 2025-01-07, record date of 2024-12-31</x:v>
      </x:c>
      <x:c r="N125" s="2" t="str">
        <x:v>Imported</x:v>
      </x:c>
      <x:c r="O125" s="17" t="n">
        <x:f>IF(F125="BUY",G125,IF(F125="SELL",-G125,IF(AND(F125="STKREORG",N125="Applied 4-for-1 CDR split"),G125,0)))</x:f>
        <x:v>0</x:v>
      </x:c>
      <x:c r="P125" s="17" t="n">
        <x:f>SUMIF($E$6:E124,E125,$O$6:O124)</x:f>
        <x:v>11</x:v>
      </x:c>
      <x:c r="Q125" s="18" t="n">
        <x:f>SUMIF($E$6:E124,E125,$S$6:S124)</x:f>
        <x:v>505.88999999999993</x:v>
      </x:c>
      <x:c r="R125" s="18" t="n">
        <x:f>IF(P125&gt;0,Q125/P125,0)</x:f>
        <x:v>45.989999999999995</x:v>
      </x:c>
      <x:c r="S125" s="18" t="n">
        <x:f>IF(F125="BUY",-H125,IF(F125="SELL",-G125*R125,0))</x:f>
        <x:v>0</x:v>
      </x:c>
      <x:c r="T125" s="18" t="n">
        <x:f>IF(F125="SELL",IF(G125&gt;P125+0.000001,"REVIEW",H125-G125*R125),0)</x:f>
        <x:v>0</x:v>
      </x:c>
      <x:c r="U125" s="17" t="n">
        <x:f>P125+O125</x:f>
        <x:v>11</x:v>
      </x:c>
      <x:c r="V125" s="18" t="n">
        <x:f>Q125+S125</x:f>
        <x:v>505.88999999999993</x:v>
      </x:c>
      <x:c r="W125" s="18" t="n">
        <x:f>IF(F125="DIV",H125,0)</x:f>
        <x:v>0.27</x:v>
      </x:c>
      <x:c r="X125" s="18" t="n">
        <x:f>IF(F125="CONT",H125,0)</x:f>
        <x:v>0</x:v>
      </x:c>
      <x:c r="Y125" s="2" t="str">
        <x:f>TEXT(C125,"yyyy-mm")</x:f>
        <x:v>2025-01</x:v>
      </x:c>
      <x:c r="Z125" s="2" t="str">
        <x:f>IF(OR(AND(F125="STKREORG",N125&lt;&gt;"Applied 4-for-1 CDR split"),AND(F125="SELL",G125&gt;P125+0.000001)),"REVIEW","OK")</x:f>
        <x:v>OK</x:v>
      </x:c>
    </x:row>
    <x:row r="126" ht="21" customHeight="1">
      <x:c r="A126" s="2"/>
      <x:c r="B126" s="2" t="str">
        <x:v>c77161adb85766d92bf9</x:v>
      </x:c>
      <x:c r="C126" s="16" t="d">
        <x:v>2025-01-07T00:00:00.000Z</x:v>
      </x:c>
      <x:c r="D126" s="16" t="d">
        <x:v>2025-01-07T00:00:00.000Z</x:v>
      </x:c>
      <x:c r="E126" s="2" t="str">
        <x:v>VFV_ORD</x:v>
      </x:c>
      <x:c r="F126" s="2" t="str">
        <x:v>DIV</x:v>
      </x:c>
      <x:c r="G126" s="17" t="n">
        <x:v>0</x:v>
      </x:c>
      <x:c r="H126" s="18" t="n">
        <x:v>12.51</x:v>
      </x:c>
      <x:c r="I126" s="18" t="str">
        <x:v>CAD</x:v>
      </x:c>
      <x:c r="J126" s="18" t="n">
        <x:v>20.61</x:v>
      </x:c>
      <x:c r="K126" s="2" t="str">
        <x:v>TFSA-monthly-statement-transactions-DEMO_CAD-2025-01-01.csv</x:v>
      </x:c>
      <x:c r="L126" s="2" t="n">
        <x:v>6</x:v>
      </x:c>
      <x:c r="M126" s="2" t="str">
        <x:v>VFV - Vanguard S&amp;P 500 Index ETF: Cash dividend distribution, received on 2025-01-07, record date of 2024-12-30</x:v>
      </x:c>
      <x:c r="N126" s="2" t="str">
        <x:v>Imported</x:v>
      </x:c>
      <x:c r="O126" s="17" t="n">
        <x:f>IF(F126="BUY",G126,IF(F126="SELL",-G126,IF(AND(F126="STKREORG",N126="Applied 4-for-1 CDR split"),G126,0)))</x:f>
        <x:v>0</x:v>
      </x:c>
      <x:c r="P126" s="17" t="n">
        <x:f>SUMIF($E$6:E125,E126,$O$6:O125)</x:f>
        <x:v>31.2453</x:v>
      </x:c>
      <x:c r="Q126" s="18" t="n">
        <x:f>SUMIF($E$6:E125,E126,$S$6:S125)</x:f>
        <x:v>4467.88</x:v>
      </x:c>
      <x:c r="R126" s="18" t="n">
        <x:f>IF(P126&gt;0,Q126/P126,0)</x:f>
        <x:v>142.9936662474036</x:v>
      </x:c>
      <x:c r="S126" s="18" t="n">
        <x:f>IF(F126="BUY",-H126,IF(F126="SELL",-G126*R126,0))</x:f>
        <x:v>0</x:v>
      </x:c>
      <x:c r="T126" s="18" t="n">
        <x:f>IF(F126="SELL",IF(G126&gt;P126+0.000001,"REVIEW",H126-G126*R126),0)</x:f>
        <x:v>0</x:v>
      </x:c>
      <x:c r="U126" s="17" t="n">
        <x:f>P126+O126</x:f>
        <x:v>31.2453</x:v>
      </x:c>
      <x:c r="V126" s="18" t="n">
        <x:f>Q126+S126</x:f>
        <x:v>4467.88</x:v>
      </x:c>
      <x:c r="W126" s="18" t="n">
        <x:f>IF(F126="DIV",H126,0)</x:f>
        <x:v>12.51</x:v>
      </x:c>
      <x:c r="X126" s="18" t="n">
        <x:f>IF(F126="CONT",H126,0)</x:f>
        <x:v>0</x:v>
      </x:c>
      <x:c r="Y126" s="2" t="str">
        <x:f>TEXT(C126,"yyyy-mm")</x:f>
        <x:v>2025-01</x:v>
      </x:c>
      <x:c r="Z126" s="2" t="str">
        <x:f>IF(OR(AND(F126="STKREORG",N126&lt;&gt;"Applied 4-for-1 CDR split"),AND(F126="SELL",G126&gt;P126+0.000001)),"REVIEW","OK")</x:f>
        <x:v>OK</x:v>
      </x:c>
    </x:row>
    <x:row r="127" ht="21" customHeight="1">
      <x:c r="A127" s="2"/>
      <x:c r="B127" s="2" t="str">
        <x:v>d6f16c3cb1e97d781d34</x:v>
      </x:c>
      <x:c r="C127" s="16" t="d">
        <x:v>2025-01-09T00:00:00.000Z</x:v>
      </x:c>
      <x:c r="D127" s="16" t="d">
        <x:v>2025-01-09T00:00:00.000Z</x:v>
      </x:c>
      <x:c r="E127" s="2" t="str"/>
      <x:c r="F127" s="2" t="str">
        <x:v>CONT</x:v>
      </x:c>
      <x:c r="G127" s="17" t="n">
        <x:v>0</x:v>
      </x:c>
      <x:c r="H127" s="18" t="n">
        <x:v>2000</x:v>
      </x:c>
      <x:c r="I127" s="18" t="str">
        <x:v>CAD</x:v>
      </x:c>
      <x:c r="J127" s="18" t="n">
        <x:v>2020.61</x:v>
      </x:c>
      <x:c r="K127" s="2" t="str">
        <x:v>TFSA-monthly-statement-transactions-DEMO_CAD-2025-01-01.csv</x:v>
      </x:c>
      <x:c r="L127" s="2" t="n">
        <x:v>7</x:v>
      </x:c>
      <x:c r="M127" s="2" t="str">
        <x:v>Contribution (executed at 2025-01-09)</x:v>
      </x:c>
      <x:c r="N127" s="2" t="str">
        <x:v>Imported</x:v>
      </x:c>
      <x:c r="O127" s="17" t="n">
        <x:f>IF(F127="BUY",G127,IF(F127="SELL",-G127,IF(AND(F127="STKREORG",N127="Applied 4-for-1 CDR split"),G127,0)))</x:f>
        <x:v>0</x:v>
      </x:c>
      <x:c r="P127" s="17" t="n">
        <x:f>SUMIF($E$6:E126,E127,$O$6:O126)</x:f>
        <x:v>0</x:v>
      </x:c>
      <x:c r="Q127" s="18" t="n">
        <x:f>SUMIF($E$6:E126,E127,$S$6:S126)</x:f>
        <x:v>0</x:v>
      </x:c>
      <x:c r="R127" s="18" t="n">
        <x:f>IF(P127&gt;0,Q127/P127,0)</x:f>
        <x:v>0</x:v>
      </x:c>
      <x:c r="S127" s="18" t="n">
        <x:f>IF(F127="BUY",-H127,IF(F127="SELL",-G127*R127,0))</x:f>
        <x:v>0</x:v>
      </x:c>
      <x:c r="T127" s="18" t="n">
        <x:f>IF(F127="SELL",IF(G127&gt;P127+0.000001,"REVIEW",H127-G127*R127),0)</x:f>
        <x:v>0</x:v>
      </x:c>
      <x:c r="U127" s="17" t="n">
        <x:f>P127+O127</x:f>
        <x:v>0</x:v>
      </x:c>
      <x:c r="V127" s="18" t="n">
        <x:f>Q127+S127</x:f>
        <x:v>0</x:v>
      </x:c>
      <x:c r="W127" s="18" t="n">
        <x:f>IF(F127="DIV",H127,0)</x:f>
        <x:v>0</x:v>
      </x:c>
      <x:c r="X127" s="18" t="n">
        <x:f>IF(F127="CONT",H127,0)</x:f>
        <x:v>2000</x:v>
      </x:c>
      <x:c r="Y127" s="2" t="str">
        <x:f>TEXT(C127,"yyyy-mm")</x:f>
        <x:v>2025-01</x:v>
      </x:c>
      <x:c r="Z127" s="2" t="str">
        <x:f>IF(OR(AND(F127="STKREORG",N127&lt;&gt;"Applied 4-for-1 CDR split"),AND(F127="SELL",G127&gt;P127+0.000001)),"REVIEW","OK")</x:f>
        <x:v>OK</x:v>
      </x:c>
    </x:row>
    <x:row r="128" ht="21" customHeight="1">
      <x:c r="A128" s="2"/>
      <x:c r="B128" s="2" t="str">
        <x:v>20c3cb370888e9bdc525</x:v>
      </x:c>
      <x:c r="C128" s="16" t="d">
        <x:v>2025-01-10T00:00:00.000Z</x:v>
      </x:c>
      <x:c r="D128" s="16" t="d">
        <x:v>2025-01-09T00:00:00.000Z</x:v>
      </x:c>
      <x:c r="E128" s="2" t="str">
        <x:v>ENB_ORD</x:v>
      </x:c>
      <x:c r="F128" s="2" t="str">
        <x:v>BUY</x:v>
      </x:c>
      <x:c r="G128" s="17" t="n">
        <x:v>4</x:v>
      </x:c>
      <x:c r="H128" s="18" t="n">
        <x:v>-252.32</x:v>
      </x:c>
      <x:c r="I128" s="18" t="str">
        <x:v>CAD</x:v>
      </x:c>
      <x:c r="J128" s="18" t="n">
        <x:v>1768.29</x:v>
      </x:c>
      <x:c r="K128" s="2" t="str">
        <x:v>TFSA-monthly-statement-transactions-DEMO_CAD-2025-01-01.csv</x:v>
      </x:c>
      <x:c r="L128" s="2" t="n">
        <x:v>8</x:v>
      </x:c>
      <x:c r="M128" s="2" t="str">
        <x:v>ENB - Enbridge Inc: Bought 4.0000 shares (executed at 2025-01-09)</x:v>
      </x:c>
      <x:c r="N128" s="2" t="str">
        <x:v>Imported</x:v>
      </x:c>
      <x:c r="O128" s="17" t="n">
        <x:f>IF(F128="BUY",G128,IF(F128="SELL",-G128,IF(AND(F128="STKREORG",N128="Applied 4-for-1 CDR split"),G128,0)))</x:f>
        <x:v>4</x:v>
      </x:c>
      <x:c r="P128" s="17" t="n">
        <x:f>SUMIF($E$6:E127,E128,$O$6:O127)</x:f>
        <x:v>0</x:v>
      </x:c>
      <x:c r="Q128" s="18" t="n">
        <x:f>SUMIF($E$6:E127,E128,$S$6:S127)</x:f>
        <x:v>0</x:v>
      </x:c>
      <x:c r="R128" s="18" t="n">
        <x:f>IF(P128&gt;0,Q128/P128,0)</x:f>
        <x:v>0</x:v>
      </x:c>
      <x:c r="S128" s="18" t="n">
        <x:f>IF(F128="BUY",-H128,IF(F128="SELL",-G128*R128,0))</x:f>
        <x:v>252.32</x:v>
      </x:c>
      <x:c r="T128" s="18" t="n">
        <x:f>IF(F128="SELL",IF(G128&gt;P128+0.000001,"REVIEW",H128-G128*R128),0)</x:f>
        <x:v>0</x:v>
      </x:c>
      <x:c r="U128" s="17" t="n">
        <x:f>P128+O128</x:f>
        <x:v>4</x:v>
      </x:c>
      <x:c r="V128" s="18" t="n">
        <x:f>Q128+S128</x:f>
        <x:v>252.32</x:v>
      </x:c>
      <x:c r="W128" s="18" t="n">
        <x:f>IF(F128="DIV",H128,0)</x:f>
        <x:v>0</x:v>
      </x:c>
      <x:c r="X128" s="18" t="n">
        <x:f>IF(F128="CONT",H128,0)</x:f>
        <x:v>0</x:v>
      </x:c>
      <x:c r="Y128" s="2" t="str">
        <x:f>TEXT(C128,"yyyy-mm")</x:f>
        <x:v>2025-01</x:v>
      </x:c>
      <x:c r="Z128" s="2" t="str">
        <x:f>IF(OR(AND(F128="STKREORG",N128&lt;&gt;"Applied 4-for-1 CDR split"),AND(F128="SELL",G128&gt;P128+0.000001)),"REVIEW","OK")</x:f>
        <x:v>OK</x:v>
      </x:c>
    </x:row>
    <x:row r="129" ht="21" customHeight="1">
      <x:c r="A129" s="2"/>
      <x:c r="B129" s="2" t="str">
        <x:v>f2deb47d8a7ffcdd24d6</x:v>
      </x:c>
      <x:c r="C129" s="16" t="d">
        <x:v>2025-01-13T00:00:00.000Z</x:v>
      </x:c>
      <x:c r="D129" s="16" t="d">
        <x:v>2025-01-10T00:00:00.000Z</x:v>
      </x:c>
      <x:c r="E129" s="2" t="str">
        <x:v>VFV_ORD</x:v>
      </x:c>
      <x:c r="F129" s="2" t="str">
        <x:v>BUY</x:v>
      </x:c>
      <x:c r="G129" s="17" t="n">
        <x:v>8</x:v>
      </x:c>
      <x:c r="H129" s="18" t="n">
        <x:v>-1190.56</x:v>
      </x:c>
      <x:c r="I129" s="18" t="str">
        <x:v>CAD</x:v>
      </x:c>
      <x:c r="J129" s="18" t="n">
        <x:v>577.73</x:v>
      </x:c>
      <x:c r="K129" s="2" t="str">
        <x:v>TFSA-monthly-statement-transactions-DEMO_CAD-2025-01-01.csv</x:v>
      </x:c>
      <x:c r="L129" s="2" t="n">
        <x:v>9</x:v>
      </x:c>
      <x:c r="M129" s="2" t="str">
        <x:v>VFV - Vanguard S&amp;P 500 Index ETF: Bought 8.0000 shares (executed at 2025-01-10)</x:v>
      </x:c>
      <x:c r="N129" s="2" t="str">
        <x:v>Imported</x:v>
      </x:c>
      <x:c r="O129" s="17" t="n">
        <x:f>IF(F129="BUY",G129,IF(F129="SELL",-G129,IF(AND(F129="STKREORG",N129="Applied 4-for-1 CDR split"),G129,0)))</x:f>
        <x:v>8</x:v>
      </x:c>
      <x:c r="P129" s="17" t="n">
        <x:f>SUMIF($E$6:E128,E129,$O$6:O128)</x:f>
        <x:v>31.2453</x:v>
      </x:c>
      <x:c r="Q129" s="18" t="n">
        <x:f>SUMIF($E$6:E128,E129,$S$6:S128)</x:f>
        <x:v>4467.88</x:v>
      </x:c>
      <x:c r="R129" s="18" t="n">
        <x:f>IF(P129&gt;0,Q129/P129,0)</x:f>
        <x:v>142.9936662474036</x:v>
      </x:c>
      <x:c r="S129" s="18" t="n">
        <x:f>IF(F129="BUY",-H129,IF(F129="SELL",-G129*R129,0))</x:f>
        <x:v>1190.56</x:v>
      </x:c>
      <x:c r="T129" s="18" t="n">
        <x:f>IF(F129="SELL",IF(G129&gt;P129+0.000001,"REVIEW",H129-G129*R129),0)</x:f>
        <x:v>0</x:v>
      </x:c>
      <x:c r="U129" s="17" t="n">
        <x:f>P129+O129</x:f>
        <x:v>39.2453</x:v>
      </x:c>
      <x:c r="V129" s="18" t="n">
        <x:f>Q129+S129</x:f>
        <x:v>5658.4400000000005</x:v>
      </x:c>
      <x:c r="W129" s="18" t="n">
        <x:f>IF(F129="DIV",H129,0)</x:f>
        <x:v>0</x:v>
      </x:c>
      <x:c r="X129" s="18" t="n">
        <x:f>IF(F129="CONT",H129,0)</x:f>
        <x:v>0</x:v>
      </x:c>
      <x:c r="Y129" s="2" t="str">
        <x:f>TEXT(C129,"yyyy-mm")</x:f>
        <x:v>2025-01</x:v>
      </x:c>
      <x:c r="Z129" s="2" t="str">
        <x:f>IF(OR(AND(F129="STKREORG",N129&lt;&gt;"Applied 4-for-1 CDR split"),AND(F129="SELL",G129&gt;P129+0.000001)),"REVIEW","OK")</x:f>
        <x:v>OK</x:v>
      </x:c>
    </x:row>
    <x:row r="130" ht="21" customHeight="1">
      <x:c r="A130" s="2"/>
      <x:c r="B130" s="2" t="str">
        <x:v>58a673b5df39049e9347</x:v>
      </x:c>
      <x:c r="C130" s="16" t="d">
        <x:v>2025-01-13T00:00:00.000Z</x:v>
      </x:c>
      <x:c r="D130" s="16" t="d">
        <x:v>2025-01-10T00:00:00.000Z</x:v>
      </x:c>
      <x:c r="E130" s="2" t="str">
        <x:v>BN_ORD</x:v>
      </x:c>
      <x:c r="F130" s="2" t="str">
        <x:v>BUY</x:v>
      </x:c>
      <x:c r="G130" s="17" t="n">
        <x:v>2</x:v>
      </x:c>
      <x:c r="H130" s="18" t="n">
        <x:v>-160.18</x:v>
      </x:c>
      <x:c r="I130" s="18" t="str">
        <x:v>CAD</x:v>
      </x:c>
      <x:c r="J130" s="18" t="n">
        <x:v>417.55</x:v>
      </x:c>
      <x:c r="K130" s="2" t="str">
        <x:v>TFSA-monthly-statement-transactions-DEMO_CAD-2025-01-01.csv</x:v>
      </x:c>
      <x:c r="L130" s="2" t="n">
        <x:v>10</x:v>
      </x:c>
      <x:c r="M130" s="2" t="str">
        <x:v>BN - Brookfield Corp.: Bought 2.0000 shares (executed at 2025-01-10)</x:v>
      </x:c>
      <x:c r="N130" s="2" t="str">
        <x:v>Imported</x:v>
      </x:c>
      <x:c r="O130" s="17" t="n">
        <x:f>IF(F130="BUY",G130,IF(F130="SELL",-G130,IF(AND(F130="STKREORG",N130="Applied 4-for-1 CDR split"),G130,0)))</x:f>
        <x:v>2</x:v>
      </x:c>
      <x:c r="P130" s="17" t="n">
        <x:f>SUMIF($E$6:E129,E130,$O$6:O129)</x:f>
        <x:v>0</x:v>
      </x:c>
      <x:c r="Q130" s="18" t="n">
        <x:f>SUMIF($E$6:E129,E130,$S$6:S129)</x:f>
        <x:v>0</x:v>
      </x:c>
      <x:c r="R130" s="18" t="n">
        <x:f>IF(P130&gt;0,Q130/P130,0)</x:f>
        <x:v>0</x:v>
      </x:c>
      <x:c r="S130" s="18" t="n">
        <x:f>IF(F130="BUY",-H130,IF(F130="SELL",-G130*R130,0))</x:f>
        <x:v>160.18</x:v>
      </x:c>
      <x:c r="T130" s="18" t="n">
        <x:f>IF(F130="SELL",IF(G130&gt;P130+0.000001,"REVIEW",H130-G130*R130),0)</x:f>
        <x:v>0</x:v>
      </x:c>
      <x:c r="U130" s="17" t="n">
        <x:f>P130+O130</x:f>
        <x:v>2</x:v>
      </x:c>
      <x:c r="V130" s="18" t="n">
        <x:f>Q130+S130</x:f>
        <x:v>160.18</x:v>
      </x:c>
      <x:c r="W130" s="18" t="n">
        <x:f>IF(F130="DIV",H130,0)</x:f>
        <x:v>0</x:v>
      </x:c>
      <x:c r="X130" s="18" t="n">
        <x:f>IF(F130="CONT",H130,0)</x:f>
        <x:v>0</x:v>
      </x:c>
      <x:c r="Y130" s="2" t="str">
        <x:f>TEXT(C130,"yyyy-mm")</x:f>
        <x:v>2025-01</x:v>
      </x:c>
      <x:c r="Z130" s="2" t="str">
        <x:f>IF(OR(AND(F130="STKREORG",N130&lt;&gt;"Applied 4-for-1 CDR split"),AND(F130="SELL",G130&gt;P130+0.000001)),"REVIEW","OK")</x:f>
        <x:v>OK</x:v>
      </x:c>
    </x:row>
    <x:row r="131" ht="21" customHeight="1">
      <x:c r="A131" s="2"/>
      <x:c r="B131" s="2" t="str">
        <x:v>bb6e0b867aeb24d2b969</x:v>
      </x:c>
      <x:c r="C131" s="16" t="d">
        <x:v>2025-01-13T00:00:00.000Z</x:v>
      </x:c>
      <x:c r="D131" s="16" t="d">
        <x:v>2025-01-10T00:00:00.000Z</x:v>
      </x:c>
      <x:c r="E131" s="2" t="str">
        <x:v>NVDA_CDR</x:v>
      </x:c>
      <x:c r="F131" s="2" t="str">
        <x:v>BUY</x:v>
      </x:c>
      <x:c r="G131" s="17" t="n">
        <x:v>5</x:v>
      </x:c>
      <x:c r="H131" s="18" t="n">
        <x:v>-158.8</x:v>
      </x:c>
      <x:c r="I131" s="18" t="str">
        <x:v>CAD</x:v>
      </x:c>
      <x:c r="J131" s="18" t="n">
        <x:v>258.75</x:v>
      </x:c>
      <x:c r="K131" s="2" t="str">
        <x:v>TFSA-monthly-statement-transactions-DEMO_CAD-2025-01-01.csv</x:v>
      </x:c>
      <x:c r="L131" s="2" t="n">
        <x:v>11</x:v>
      </x:c>
      <x:c r="M131" s="2" t="str">
        <x:v>NVDA - Nvidia Corp: Bought 5.0000 shares (executed at 2025-01-10)</x:v>
      </x:c>
      <x:c r="N131" s="2" t="str">
        <x:v>Imported</x:v>
      </x:c>
      <x:c r="O131" s="17" t="n">
        <x:f>IF(F131="BUY",G131,IF(F131="SELL",-G131,IF(AND(F131="STKREORG",N131="Applied 4-for-1 CDR split"),G131,0)))</x:f>
        <x:v>5</x:v>
      </x:c>
      <x:c r="P131" s="17" t="n">
        <x:f>SUMIF($E$6:E130,E131,$O$6:O130)</x:f>
        <x:v>0</x:v>
      </x:c>
      <x:c r="Q131" s="18" t="n">
        <x:f>SUMIF($E$6:E130,E131,$S$6:S130)</x:f>
        <x:v>0</x:v>
      </x:c>
      <x:c r="R131" s="18" t="n">
        <x:f>IF(P131&gt;0,Q131/P131,0)</x:f>
        <x:v>0</x:v>
      </x:c>
      <x:c r="S131" s="18" t="n">
        <x:f>IF(F131="BUY",-H131,IF(F131="SELL",-G131*R131,0))</x:f>
        <x:v>158.8</x:v>
      </x:c>
      <x:c r="T131" s="18" t="n">
        <x:f>IF(F131="SELL",IF(G131&gt;P131+0.000001,"REVIEW",H131-G131*R131),0)</x:f>
        <x:v>0</x:v>
      </x:c>
      <x:c r="U131" s="17" t="n">
        <x:f>P131+O131</x:f>
        <x:v>5</x:v>
      </x:c>
      <x:c r="V131" s="18" t="n">
        <x:f>Q131+S131</x:f>
        <x:v>158.8</x:v>
      </x:c>
      <x:c r="W131" s="18" t="n">
        <x:f>IF(F131="DIV",H131,0)</x:f>
        <x:v>0</x:v>
      </x:c>
      <x:c r="X131" s="18" t="n">
        <x:f>IF(F131="CONT",H131,0)</x:f>
        <x:v>0</x:v>
      </x:c>
      <x:c r="Y131" s="2" t="str">
        <x:f>TEXT(C131,"yyyy-mm")</x:f>
        <x:v>2025-01</x:v>
      </x:c>
      <x:c r="Z131" s="2" t="str">
        <x:f>IF(OR(AND(F131="STKREORG",N131&lt;&gt;"Applied 4-for-1 CDR split"),AND(F131="SELL",G131&gt;P131+0.000001)),"REVIEW","OK")</x:f>
        <x:v>OK</x:v>
      </x:c>
    </x:row>
    <x:row r="132" ht="21" customHeight="1">
      <x:c r="A132" s="2"/>
      <x:c r="B132" s="2" t="str">
        <x:v>945deb01c4d15b7d728a</x:v>
      </x:c>
      <x:c r="C132" s="16" t="d">
        <x:v>2025-01-17T00:00:00.000Z</x:v>
      </x:c>
      <x:c r="D132" s="16" t="d">
        <x:v>2025-01-16T00:00:00.000Z</x:v>
      </x:c>
      <x:c r="E132" s="2" t="str">
        <x:v>NVDA_CDR</x:v>
      </x:c>
      <x:c r="F132" s="2" t="str">
        <x:v>BUY</x:v>
      </x:c>
      <x:c r="G132" s="17" t="n">
        <x:v>2</x:v>
      </x:c>
      <x:c r="H132" s="18" t="n">
        <x:v>-63.04</x:v>
      </x:c>
      <x:c r="I132" s="18" t="str">
        <x:v>CAD</x:v>
      </x:c>
      <x:c r="J132" s="18" t="n">
        <x:v>195.71</x:v>
      </x:c>
      <x:c r="K132" s="2" t="str">
        <x:v>TFSA-monthly-statement-transactions-DEMO_CAD-2025-01-01.csv</x:v>
      </x:c>
      <x:c r="L132" s="2" t="n">
        <x:v>12</x:v>
      </x:c>
      <x:c r="M132" s="2" t="str">
        <x:v>NVDA - Nvidia Corp: Bought 2.0000 shares (executed at 2025-01-16)</x:v>
      </x:c>
      <x:c r="N132" s="2" t="str">
        <x:v>Imported</x:v>
      </x:c>
      <x:c r="O132" s="17" t="n">
        <x:f>IF(F132="BUY",G132,IF(F132="SELL",-G132,IF(AND(F132="STKREORG",N132="Applied 4-for-1 CDR split"),G132,0)))</x:f>
        <x:v>2</x:v>
      </x:c>
      <x:c r="P132" s="17" t="n">
        <x:f>SUMIF($E$6:E131,E132,$O$6:O131)</x:f>
        <x:v>5</x:v>
      </x:c>
      <x:c r="Q132" s="18" t="n">
        <x:f>SUMIF($E$6:E131,E132,$S$6:S131)</x:f>
        <x:v>158.8</x:v>
      </x:c>
      <x:c r="R132" s="18" t="n">
        <x:f>IF(P132&gt;0,Q132/P132,0)</x:f>
        <x:v>31.76</x:v>
      </x:c>
      <x:c r="S132" s="18" t="n">
        <x:f>IF(F132="BUY",-H132,IF(F132="SELL",-G132*R132,0))</x:f>
        <x:v>63.04</x:v>
      </x:c>
      <x:c r="T132" s="18" t="n">
        <x:f>IF(F132="SELL",IF(G132&gt;P132+0.000001,"REVIEW",H132-G132*R132),0)</x:f>
        <x:v>0</x:v>
      </x:c>
      <x:c r="U132" s="17" t="n">
        <x:f>P132+O132</x:f>
        <x:v>7</x:v>
      </x:c>
      <x:c r="V132" s="18" t="n">
        <x:f>Q132+S132</x:f>
        <x:v>221.84</x:v>
      </x:c>
      <x:c r="W132" s="18" t="n">
        <x:f>IF(F132="DIV",H132,0)</x:f>
        <x:v>0</x:v>
      </x:c>
      <x:c r="X132" s="18" t="n">
        <x:f>IF(F132="CONT",H132,0)</x:f>
        <x:v>0</x:v>
      </x:c>
      <x:c r="Y132" s="2" t="str">
        <x:f>TEXT(C132,"yyyy-mm")</x:f>
        <x:v>2025-01</x:v>
      </x:c>
      <x:c r="Z132" s="2" t="str">
        <x:f>IF(OR(AND(F132="STKREORG",N132&lt;&gt;"Applied 4-for-1 CDR split"),AND(F132="SELL",G132&gt;P132+0.000001)),"REVIEW","OK")</x:f>
        <x:v>OK</x:v>
      </x:c>
    </x:row>
    <x:row r="133" ht="21" customHeight="1">
      <x:c r="A133" s="2"/>
      <x:c r="B133" s="2" t="str">
        <x:v>cd0cfdf457fd91839452</x:v>
      </x:c>
      <x:c r="C133" s="16" t="d">
        <x:v>2025-01-20T00:00:00.000Z</x:v>
      </x:c>
      <x:c r="D133" s="16" t="d">
        <x:v>2025-01-17T00:00:00.000Z</x:v>
      </x:c>
      <x:c r="E133" s="2" t="str">
        <x:v>VFV_ORD</x:v>
      </x:c>
      <x:c r="F133" s="2" t="str">
        <x:v>BUY</x:v>
      </x:c>
      <x:c r="G133" s="17" t="n">
        <x:v>1</x:v>
      </x:c>
      <x:c r="H133" s="18" t="n">
        <x:v>-154.07</x:v>
      </x:c>
      <x:c r="I133" s="18" t="str">
        <x:v>CAD</x:v>
      </x:c>
      <x:c r="J133" s="18" t="n">
        <x:v>41.64</x:v>
      </x:c>
      <x:c r="K133" s="2" t="str">
        <x:v>TFSA-monthly-statement-transactions-DEMO_CAD-2025-01-01.csv</x:v>
      </x:c>
      <x:c r="L133" s="2" t="n">
        <x:v>13</x:v>
      </x:c>
      <x:c r="M133" s="2" t="str">
        <x:v>VFV - Vanguard S&amp;P 500 Index ETF: Bought 1.0000 shares (executed at 2025-01-17)</x:v>
      </x:c>
      <x:c r="N133" s="2" t="str">
        <x:v>Imported</x:v>
      </x:c>
      <x:c r="O133" s="17" t="n">
        <x:f>IF(F133="BUY",G133,IF(F133="SELL",-G133,IF(AND(F133="STKREORG",N133="Applied 4-for-1 CDR split"),G133,0)))</x:f>
        <x:v>1</x:v>
      </x:c>
      <x:c r="P133" s="17" t="n">
        <x:f>SUMIF($E$6:E132,E133,$O$6:O132)</x:f>
        <x:v>39.2453</x:v>
      </x:c>
      <x:c r="Q133" s="18" t="n">
        <x:f>SUMIF($E$6:E132,E133,$S$6:S132)</x:f>
        <x:v>5658.4400000000005</x:v>
      </x:c>
      <x:c r="R133" s="18" t="n">
        <x:f>IF(P133&gt;0,Q133/P133,0)</x:f>
        <x:v>144.1813414599965</x:v>
      </x:c>
      <x:c r="S133" s="18" t="n">
        <x:f>IF(F133="BUY",-H133,IF(F133="SELL",-G133*R133,0))</x:f>
        <x:v>154.07</x:v>
      </x:c>
      <x:c r="T133" s="18" t="n">
        <x:f>IF(F133="SELL",IF(G133&gt;P133+0.000001,"REVIEW",H133-G133*R133),0)</x:f>
        <x:v>0</x:v>
      </x:c>
      <x:c r="U133" s="17" t="n">
        <x:f>P133+O133</x:f>
        <x:v>40.2453</x:v>
      </x:c>
      <x:c r="V133" s="18" t="n">
        <x:f>Q133+S133</x:f>
        <x:v>5812.51</x:v>
      </x:c>
      <x:c r="W133" s="18" t="n">
        <x:f>IF(F133="DIV",H133,0)</x:f>
        <x:v>0</x:v>
      </x:c>
      <x:c r="X133" s="18" t="n">
        <x:f>IF(F133="CONT",H133,0)</x:f>
        <x:v>0</x:v>
      </x:c>
      <x:c r="Y133" s="2" t="str">
        <x:f>TEXT(C133,"yyyy-mm")</x:f>
        <x:v>2025-01</x:v>
      </x:c>
      <x:c r="Z133" s="2" t="str">
        <x:f>IF(OR(AND(F133="STKREORG",N133&lt;&gt;"Applied 4-for-1 CDR split"),AND(F133="SELL",G133&gt;P133+0.000001)),"REVIEW","OK")</x:f>
        <x:v>OK</x:v>
      </x:c>
    </x:row>
    <x:row r="134" ht="21" customHeight="1">
      <x:c r="A134" s="2"/>
      <x:c r="B134" s="2" t="str">
        <x:v>48565fbe2fb43619101c</x:v>
      </x:c>
      <x:c r="C134" s="16" t="d">
        <x:v>2025-01-20T00:00:00.000Z</x:v>
      </x:c>
      <x:c r="D134" s="16" t="d">
        <x:v>2025-01-17T00:00:00.000Z</x:v>
      </x:c>
      <x:c r="E134" s="2" t="str">
        <x:v>VFV_ORD</x:v>
      </x:c>
      <x:c r="F134" s="2" t="str">
        <x:v>BUY</x:v>
      </x:c>
      <x:c r="G134" s="17" t="n">
        <x:v>0.2706</x:v>
      </x:c>
      <x:c r="H134" s="18" t="n">
        <x:v>-41.63</x:v>
      </x:c>
      <x:c r="I134" s="18" t="str">
        <x:v>CAD</x:v>
      </x:c>
      <x:c r="J134" s="18" t="n">
        <x:v>0.01</x:v>
      </x:c>
      <x:c r="K134" s="2" t="str">
        <x:v>TFSA-monthly-statement-transactions-DEMO_CAD-2025-01-01.csv</x:v>
      </x:c>
      <x:c r="L134" s="2" t="n">
        <x:v>14</x:v>
      </x:c>
      <x:c r="M134" s="2" t="str">
        <x:v>VFV - Vanguard S&amp;P 500 Index ETF: Bought 0.2706 shares (executed at 2025-01-17)</x:v>
      </x:c>
      <x:c r="N134" s="2" t="str">
        <x:v>Imported</x:v>
      </x:c>
      <x:c r="O134" s="17" t="n">
        <x:f>IF(F134="BUY",G134,IF(F134="SELL",-G134,IF(AND(F134="STKREORG",N134="Applied 4-for-1 CDR split"),G134,0)))</x:f>
        <x:v>0.2706</x:v>
      </x:c>
      <x:c r="P134" s="17" t="n">
        <x:f>SUMIF($E$6:E133,E134,$O$6:O133)</x:f>
        <x:v>40.2453</x:v>
      </x:c>
      <x:c r="Q134" s="18" t="n">
        <x:f>SUMIF($E$6:E133,E134,$S$6:S133)</x:f>
        <x:v>5812.51</x:v>
      </x:c>
      <x:c r="R134" s="18" t="n">
        <x:f>IF(P134&gt;0,Q134/P134,0)</x:f>
        <x:v>144.4270511090736</x:v>
      </x:c>
      <x:c r="S134" s="18" t="n">
        <x:f>IF(F134="BUY",-H134,IF(F134="SELL",-G134*R134,0))</x:f>
        <x:v>41.63</x:v>
      </x:c>
      <x:c r="T134" s="18" t="n">
        <x:f>IF(F134="SELL",IF(G134&gt;P134+0.000001,"REVIEW",H134-G134*R134),0)</x:f>
        <x:v>0</x:v>
      </x:c>
      <x:c r="U134" s="17" t="n">
        <x:f>P134+O134</x:f>
        <x:v>40.5159</x:v>
      </x:c>
      <x:c r="V134" s="18" t="n">
        <x:f>Q134+S134</x:f>
        <x:v>5854.14</x:v>
      </x:c>
      <x:c r="W134" s="18" t="n">
        <x:f>IF(F134="DIV",H134,0)</x:f>
        <x:v>0</x:v>
      </x:c>
      <x:c r="X134" s="18" t="n">
        <x:f>IF(F134="CONT",H134,0)</x:f>
        <x:v>0</x:v>
      </x:c>
      <x:c r="Y134" s="2" t="str">
        <x:f>TEXT(C134,"yyyy-mm")</x:f>
        <x:v>2025-01</x:v>
      </x:c>
      <x:c r="Z134" s="2" t="str">
        <x:f>IF(OR(AND(F134="STKREORG",N134&lt;&gt;"Applied 4-for-1 CDR split"),AND(F134="SELL",G134&gt;P134+0.000001)),"REVIEW","OK")</x:f>
        <x:v>OK</x:v>
      </x:c>
    </x:row>
    <x:row r="135" ht="21" customHeight="1">
      <x:c r="A135" s="2"/>
      <x:c r="B135" s="2" t="str">
        <x:v>59c25fafce074ca000c2</x:v>
      </x:c>
      <x:c r="C135" s="16" t="d">
        <x:v>2025-01-21T00:00:00.000Z</x:v>
      </x:c>
      <x:c r="D135" s="16" t="d">
        <x:v>2025-01-21T00:00:00.000Z</x:v>
      </x:c>
      <x:c r="E135" s="2" t="str"/>
      <x:c r="F135" s="2" t="str">
        <x:v>CONT</x:v>
      </x:c>
      <x:c r="G135" s="17" t="n">
        <x:v>0</x:v>
      </x:c>
      <x:c r="H135" s="18" t="n">
        <x:v>500</x:v>
      </x:c>
      <x:c r="I135" s="18" t="str">
        <x:v>CAD</x:v>
      </x:c>
      <x:c r="J135" s="18" t="n">
        <x:v>500.01</x:v>
      </x:c>
      <x:c r="K135" s="2" t="str">
        <x:v>TFSA-monthly-statement-transactions-DEMO_CAD-2025-01-01.csv</x:v>
      </x:c>
      <x:c r="L135" s="2" t="n">
        <x:v>15</x:v>
      </x:c>
      <x:c r="M135" s="2" t="str">
        <x:v>Contribution (executed at 2025-01-21)</x:v>
      </x:c>
      <x:c r="N135" s="2" t="str">
        <x:v>Imported</x:v>
      </x:c>
      <x:c r="O135" s="17" t="n">
        <x:f>IF(F135="BUY",G135,IF(F135="SELL",-G135,IF(AND(F135="STKREORG",N135="Applied 4-for-1 CDR split"),G135,0)))</x:f>
        <x:v>0</x:v>
      </x:c>
      <x:c r="P135" s="17" t="n">
        <x:f>SUMIF($E$6:E134,E135,$O$6:O134)</x:f>
        <x:v>0</x:v>
      </x:c>
      <x:c r="Q135" s="18" t="n">
        <x:f>SUMIF($E$6:E134,E135,$S$6:S134)</x:f>
        <x:v>0</x:v>
      </x:c>
      <x:c r="R135" s="18" t="n">
        <x:f>IF(P135&gt;0,Q135/P135,0)</x:f>
        <x:v>0</x:v>
      </x:c>
      <x:c r="S135" s="18" t="n">
        <x:f>IF(F135="BUY",-H135,IF(F135="SELL",-G135*R135,0))</x:f>
        <x:v>0</x:v>
      </x:c>
      <x:c r="T135" s="18" t="n">
        <x:f>IF(F135="SELL",IF(G135&gt;P135+0.000001,"REVIEW",H135-G135*R135),0)</x:f>
        <x:v>0</x:v>
      </x:c>
      <x:c r="U135" s="17" t="n">
        <x:f>P135+O135</x:f>
        <x:v>0</x:v>
      </x:c>
      <x:c r="V135" s="18" t="n">
        <x:f>Q135+S135</x:f>
        <x:v>0</x:v>
      </x:c>
      <x:c r="W135" s="18" t="n">
        <x:f>IF(F135="DIV",H135,0)</x:f>
        <x:v>0</x:v>
      </x:c>
      <x:c r="X135" s="18" t="n">
        <x:f>IF(F135="CONT",H135,0)</x:f>
        <x:v>500</x:v>
      </x:c>
      <x:c r="Y135" s="2" t="str">
        <x:f>TEXT(C135,"yyyy-mm")</x:f>
        <x:v>2025-01</x:v>
      </x:c>
      <x:c r="Z135" s="2" t="str">
        <x:f>IF(OR(AND(F135="STKREORG",N135&lt;&gt;"Applied 4-for-1 CDR split"),AND(F135="SELL",G135&gt;P135+0.000001)),"REVIEW","OK")</x:f>
        <x:v>OK</x:v>
      </x:c>
    </x:row>
    <x:row r="136" ht="21" customHeight="1">
      <x:c r="A136" s="2"/>
      <x:c r="B136" s="2" t="str">
        <x:v>75c789d408ddaee6f9de</x:v>
      </x:c>
      <x:c r="C136" s="16" t="d">
        <x:v>2025-01-22T00:00:00.000Z</x:v>
      </x:c>
      <x:c r="D136" s="16" t="d">
        <x:v>2025-01-21T00:00:00.000Z</x:v>
      </x:c>
      <x:c r="E136" s="2" t="str">
        <x:v>AAPL_CDR</x:v>
      </x:c>
      <x:c r="F136" s="2" t="str">
        <x:v>BUY</x:v>
      </x:c>
      <x:c r="G136" s="17" t="n">
        <x:v>10</x:v>
      </x:c>
      <x:c r="H136" s="18" t="n">
        <x:v>-322.5</x:v>
      </x:c>
      <x:c r="I136" s="18" t="str">
        <x:v>CAD</x:v>
      </x:c>
      <x:c r="J136" s="18" t="n">
        <x:v>177.51</x:v>
      </x:c>
      <x:c r="K136" s="2" t="str">
        <x:v>TFSA-monthly-statement-transactions-DEMO_CAD-2025-01-01.csv</x:v>
      </x:c>
      <x:c r="L136" s="2" t="n">
        <x:v>16</x:v>
      </x:c>
      <x:c r="M136" s="2" t="str">
        <x:v>AAPL - Apple CDR (CAD Hedged) : Bought 10.0000 shares (executed at 2025-01-21)</x:v>
      </x:c>
      <x:c r="N136" s="2" t="str">
        <x:v>Imported</x:v>
      </x:c>
      <x:c r="O136" s="17" t="n">
        <x:f>IF(F136="BUY",G136,IF(F136="SELL",-G136,IF(AND(F136="STKREORG",N136="Applied 4-for-1 CDR split"),G136,0)))</x:f>
        <x:v>10</x:v>
      </x:c>
      <x:c r="P136" s="17" t="n">
        <x:f>SUMIF($E$6:E135,E136,$O$6:O135)</x:f>
        <x:v>0</x:v>
      </x:c>
      <x:c r="Q136" s="18" t="n">
        <x:f>SUMIF($E$6:E135,E136,$S$6:S135)</x:f>
        <x:v>-1.4210854715202004e-14</x:v>
      </x:c>
      <x:c r="R136" s="18" t="n">
        <x:f>IF(P136&gt;0,Q136/P136,0)</x:f>
        <x:v>0</x:v>
      </x:c>
      <x:c r="S136" s="18" t="n">
        <x:f>IF(F136="BUY",-H136,IF(F136="SELL",-G136*R136,0))</x:f>
        <x:v>322.5</x:v>
      </x:c>
      <x:c r="T136" s="18" t="n">
        <x:f>IF(F136="SELL",IF(G136&gt;P136+0.000001,"REVIEW",H136-G136*R136),0)</x:f>
        <x:v>0</x:v>
      </x:c>
      <x:c r="U136" s="17" t="n">
        <x:f>P136+O136</x:f>
        <x:v>10</x:v>
      </x:c>
      <x:c r="V136" s="18" t="n">
        <x:f>Q136+S136</x:f>
        <x:v>322.5</x:v>
      </x:c>
      <x:c r="W136" s="18" t="n">
        <x:f>IF(F136="DIV",H136,0)</x:f>
        <x:v>0</x:v>
      </x:c>
      <x:c r="X136" s="18" t="n">
        <x:f>IF(F136="CONT",H136,0)</x:f>
        <x:v>0</x:v>
      </x:c>
      <x:c r="Y136" s="2" t="str">
        <x:f>TEXT(C136,"yyyy-mm")</x:f>
        <x:v>2025-01</x:v>
      </x:c>
      <x:c r="Z136" s="2" t="str">
        <x:f>IF(OR(AND(F136="STKREORG",N136&lt;&gt;"Applied 4-for-1 CDR split"),AND(F136="SELL",G136&gt;P136+0.000001)),"REVIEW","OK")</x:f>
        <x:v>OK</x:v>
      </x:c>
    </x:row>
    <x:row r="137" ht="21" customHeight="1">
      <x:c r="A137" s="2"/>
      <x:c r="B137" s="2" t="str">
        <x:v>326fd3bc1403b962e762</x:v>
      </x:c>
      <x:c r="C137" s="16" t="d">
        <x:v>2025-01-22T00:00:00.000Z</x:v>
      </x:c>
      <x:c r="D137" s="16" t="d">
        <x:v>2025-01-21T00:00:00.000Z</x:v>
      </x:c>
      <x:c r="E137" s="2" t="str">
        <x:v>QQC_ORD</x:v>
      </x:c>
      <x:c r="F137" s="2" t="str">
        <x:v>BUY</x:v>
      </x:c>
      <x:c r="G137" s="17" t="n">
        <x:v>1</x:v>
      </x:c>
      <x:c r="H137" s="18" t="n">
        <x:v>-36.76</x:v>
      </x:c>
      <x:c r="I137" s="18" t="str">
        <x:v>CAD</x:v>
      </x:c>
      <x:c r="J137" s="18" t="n">
        <x:v>140.75</x:v>
      </x:c>
      <x:c r="K137" s="2" t="str">
        <x:v>TFSA-monthly-statement-transactions-DEMO_CAD-2025-01-01.csv</x:v>
      </x:c>
      <x:c r="L137" s="2" t="n">
        <x:v>17</x:v>
      </x:c>
      <x:c r="M137" s="2" t="str">
        <x:v>QQC - Invesco Nasdaq 100 Index ETF - CAD: Bought 1.0000 shares (executed at 2025-01-21)</x:v>
      </x:c>
      <x:c r="N137" s="2" t="str">
        <x:v>Imported</x:v>
      </x:c>
      <x:c r="O137" s="17" t="n">
        <x:f>IF(F137="BUY",G137,IF(F137="SELL",-G137,IF(AND(F137="STKREORG",N137="Applied 4-for-1 CDR split"),G137,0)))</x:f>
        <x:v>1</x:v>
      </x:c>
      <x:c r="P137" s="17" t="n">
        <x:f>SUMIF($E$6:E136,E137,$O$6:O136)</x:f>
        <x:v>0</x:v>
      </x:c>
      <x:c r="Q137" s="18" t="n">
        <x:f>SUMIF($E$6:E136,E137,$S$6:S136)</x:f>
        <x:v>0</x:v>
      </x:c>
      <x:c r="R137" s="18" t="n">
        <x:f>IF(P137&gt;0,Q137/P137,0)</x:f>
        <x:v>0</x:v>
      </x:c>
      <x:c r="S137" s="18" t="n">
        <x:f>IF(F137="BUY",-H137,IF(F137="SELL",-G137*R137,0))</x:f>
        <x:v>36.76</x:v>
      </x:c>
      <x:c r="T137" s="18" t="n">
        <x:f>IF(F137="SELL",IF(G137&gt;P137+0.000001,"REVIEW",H137-G137*R137),0)</x:f>
        <x:v>0</x:v>
      </x:c>
      <x:c r="U137" s="17" t="n">
        <x:f>P137+O137</x:f>
        <x:v>1</x:v>
      </x:c>
      <x:c r="V137" s="18" t="n">
        <x:f>Q137+S137</x:f>
        <x:v>36.76</x:v>
      </x:c>
      <x:c r="W137" s="18" t="n">
        <x:f>IF(F137="DIV",H137,0)</x:f>
        <x:v>0</x:v>
      </x:c>
      <x:c r="X137" s="18" t="n">
        <x:f>IF(F137="CONT",H137,0)</x:f>
        <x:v>0</x:v>
      </x:c>
      <x:c r="Y137" s="2" t="str">
        <x:f>TEXT(C137,"yyyy-mm")</x:f>
        <x:v>2025-01</x:v>
      </x:c>
      <x:c r="Z137" s="2" t="str">
        <x:f>IF(OR(AND(F137="STKREORG",N137&lt;&gt;"Applied 4-for-1 CDR split"),AND(F137="SELL",G137&gt;P137+0.000001)),"REVIEW","OK")</x:f>
        <x:v>OK</x:v>
      </x:c>
    </x:row>
    <x:row r="138" ht="21" customHeight="1">
      <x:c r="A138" s="2"/>
      <x:c r="B138" s="2" t="str">
        <x:v>2398ee5ae772e86dcc3c</x:v>
      </x:c>
      <x:c r="C138" s="16" t="d">
        <x:v>2025-01-22T00:00:00.000Z</x:v>
      </x:c>
      <x:c r="D138" s="16" t="d">
        <x:v>2025-01-21T00:00:00.000Z</x:v>
      </x:c>
      <x:c r="E138" s="2" t="str">
        <x:v>QQC_ORD</x:v>
      </x:c>
      <x:c r="F138" s="2" t="str">
        <x:v>BUY</x:v>
      </x:c>
      <x:c r="G138" s="17" t="n">
        <x:v>3</x:v>
      </x:c>
      <x:c r="H138" s="18" t="n">
        <x:v>-110.31</x:v>
      </x:c>
      <x:c r="I138" s="18" t="str">
        <x:v>CAD</x:v>
      </x:c>
      <x:c r="J138" s="18" t="n">
        <x:v>30.44</x:v>
      </x:c>
      <x:c r="K138" s="2" t="str">
        <x:v>TFSA-monthly-statement-transactions-DEMO_CAD-2025-01-01.csv</x:v>
      </x:c>
      <x:c r="L138" s="2" t="n">
        <x:v>18</x:v>
      </x:c>
      <x:c r="M138" s="2" t="str">
        <x:v>QQC - Invesco Nasdaq 100 Index ETF - CAD: Bought 3.0000 shares (executed at 2025-01-21)</x:v>
      </x:c>
      <x:c r="N138" s="2" t="str">
        <x:v>Imported</x:v>
      </x:c>
      <x:c r="O138" s="17" t="n">
        <x:f>IF(F138="BUY",G138,IF(F138="SELL",-G138,IF(AND(F138="STKREORG",N138="Applied 4-for-1 CDR split"),G138,0)))</x:f>
        <x:v>3</x:v>
      </x:c>
      <x:c r="P138" s="17" t="n">
        <x:f>SUMIF($E$6:E137,E138,$O$6:O137)</x:f>
        <x:v>1</x:v>
      </x:c>
      <x:c r="Q138" s="18" t="n">
        <x:f>SUMIF($E$6:E137,E138,$S$6:S137)</x:f>
        <x:v>36.76</x:v>
      </x:c>
      <x:c r="R138" s="18" t="n">
        <x:f>IF(P138&gt;0,Q138/P138,0)</x:f>
        <x:v>36.76</x:v>
      </x:c>
      <x:c r="S138" s="18" t="n">
        <x:f>IF(F138="BUY",-H138,IF(F138="SELL",-G138*R138,0))</x:f>
        <x:v>110.31</x:v>
      </x:c>
      <x:c r="T138" s="18" t="n">
        <x:f>IF(F138="SELL",IF(G138&gt;P138+0.000001,"REVIEW",H138-G138*R138),0)</x:f>
        <x:v>0</x:v>
      </x:c>
      <x:c r="U138" s="17" t="n">
        <x:f>P138+O138</x:f>
        <x:v>4</x:v>
      </x:c>
      <x:c r="V138" s="18" t="n">
        <x:f>Q138+S138</x:f>
        <x:v>147.07</x:v>
      </x:c>
      <x:c r="W138" s="18" t="n">
        <x:f>IF(F138="DIV",H138,0)</x:f>
        <x:v>0</x:v>
      </x:c>
      <x:c r="X138" s="18" t="n">
        <x:f>IF(F138="CONT",H138,0)</x:f>
        <x:v>0</x:v>
      </x:c>
      <x:c r="Y138" s="2" t="str">
        <x:f>TEXT(C138,"yyyy-mm")</x:f>
        <x:v>2025-01</x:v>
      </x:c>
      <x:c r="Z138" s="2" t="str">
        <x:f>IF(OR(AND(F138="STKREORG",N138&lt;&gt;"Applied 4-for-1 CDR split"),AND(F138="SELL",G138&gt;P138+0.000001)),"REVIEW","OK")</x:f>
        <x:v>OK</x:v>
      </x:c>
    </x:row>
    <x:row r="139" ht="21" customHeight="1">
      <x:c r="A139" s="2"/>
      <x:c r="B139" s="2" t="str">
        <x:v>4e0b3eec2b848cccd3fc</x:v>
      </x:c>
      <x:c r="C139" s="16" t="d">
        <x:v>2025-01-27T00:00:00.000Z</x:v>
      </x:c>
      <x:c r="D139" s="16" t="d">
        <x:v>2025-01-27T00:00:00.000Z</x:v>
      </x:c>
      <x:c r="E139" s="2" t="str"/>
      <x:c r="F139" s="2" t="str">
        <x:v>CONT</x:v>
      </x:c>
      <x:c r="G139" s="17" t="n">
        <x:v>0</x:v>
      </x:c>
      <x:c r="H139" s="18" t="n">
        <x:v>2000</x:v>
      </x:c>
      <x:c r="I139" s="18" t="str">
        <x:v>CAD</x:v>
      </x:c>
      <x:c r="J139" s="18" t="n">
        <x:v>2030.44</x:v>
      </x:c>
      <x:c r="K139" s="2" t="str">
        <x:v>TFSA-monthly-statement-transactions-DEMO_CAD-2025-01-01.csv</x:v>
      </x:c>
      <x:c r="L139" s="2" t="n">
        <x:v>19</x:v>
      </x:c>
      <x:c r="M139" s="2" t="str">
        <x:v>Contribution (executed at 2025-01-27)</x:v>
      </x:c>
      <x:c r="N139" s="2" t="str">
        <x:v>Imported</x:v>
      </x:c>
      <x:c r="O139" s="17" t="n">
        <x:f>IF(F139="BUY",G139,IF(F139="SELL",-G139,IF(AND(F139="STKREORG",N139="Applied 4-for-1 CDR split"),G139,0)))</x:f>
        <x:v>0</x:v>
      </x:c>
      <x:c r="P139" s="17" t="n">
        <x:f>SUMIF($E$6:E138,E139,$O$6:O138)</x:f>
        <x:v>0</x:v>
      </x:c>
      <x:c r="Q139" s="18" t="n">
        <x:f>SUMIF($E$6:E138,E139,$S$6:S138)</x:f>
        <x:v>0</x:v>
      </x:c>
      <x:c r="R139" s="18" t="n">
        <x:f>IF(P139&gt;0,Q139/P139,0)</x:f>
        <x:v>0</x:v>
      </x:c>
      <x:c r="S139" s="18" t="n">
        <x:f>IF(F139="BUY",-H139,IF(F139="SELL",-G139*R139,0))</x:f>
        <x:v>0</x:v>
      </x:c>
      <x:c r="T139" s="18" t="n">
        <x:f>IF(F139="SELL",IF(G139&gt;P139+0.000001,"REVIEW",H139-G139*R139),0)</x:f>
        <x:v>0</x:v>
      </x:c>
      <x:c r="U139" s="17" t="n">
        <x:f>P139+O139</x:f>
        <x:v>0</x:v>
      </x:c>
      <x:c r="V139" s="18" t="n">
        <x:f>Q139+S139</x:f>
        <x:v>0</x:v>
      </x:c>
      <x:c r="W139" s="18" t="n">
        <x:f>IF(F139="DIV",H139,0)</x:f>
        <x:v>0</x:v>
      </x:c>
      <x:c r="X139" s="18" t="n">
        <x:f>IF(F139="CONT",H139,0)</x:f>
        <x:v>2000</x:v>
      </x:c>
      <x:c r="Y139" s="2" t="str">
        <x:f>TEXT(C139,"yyyy-mm")</x:f>
        <x:v>2025-01</x:v>
      </x:c>
      <x:c r="Z139" s="2" t="str">
        <x:f>IF(OR(AND(F139="STKREORG",N139&lt;&gt;"Applied 4-for-1 CDR split"),AND(F139="SELL",G139&gt;P139+0.000001)),"REVIEW","OK")</x:f>
        <x:v>OK</x:v>
      </x:c>
    </x:row>
    <x:row r="140" ht="21" customHeight="1">
      <x:c r="A140" s="2"/>
      <x:c r="B140" s="2" t="str">
        <x:v>c56316881d048e57db77</x:v>
      </x:c>
      <x:c r="C140" s="16" t="d">
        <x:v>2025-01-28T00:00:00.000Z</x:v>
      </x:c>
      <x:c r="D140" s="16" t="d">
        <x:v>2025-01-27T00:00:00.000Z</x:v>
      </x:c>
      <x:c r="E140" s="2" t="str">
        <x:v>VFV_ORD</x:v>
      </x:c>
      <x:c r="F140" s="2" t="str">
        <x:v>BUY</x:v>
      </x:c>
      <x:c r="G140" s="17" t="n">
        <x:v>7</x:v>
      </x:c>
      <x:c r="H140" s="18" t="n">
        <x:v>-1070.37</x:v>
      </x:c>
      <x:c r="I140" s="18" t="str">
        <x:v>CAD</x:v>
      </x:c>
      <x:c r="J140" s="18" t="n">
        <x:v>960.07</x:v>
      </x:c>
      <x:c r="K140" s="2" t="str">
        <x:v>TFSA-monthly-statement-transactions-DEMO_CAD-2025-01-01.csv</x:v>
      </x:c>
      <x:c r="L140" s="2" t="n">
        <x:v>20</x:v>
      </x:c>
      <x:c r="M140" s="2" t="str">
        <x:v>VFV - Vanguard S&amp;P 500 Index ETF: Bought 7.0000 shares (executed at 2025-01-27)</x:v>
      </x:c>
      <x:c r="N140" s="2" t="str">
        <x:v>Imported</x:v>
      </x:c>
      <x:c r="O140" s="17" t="n">
        <x:f>IF(F140="BUY",G140,IF(F140="SELL",-G140,IF(AND(F140="STKREORG",N140="Applied 4-for-1 CDR split"),G140,0)))</x:f>
        <x:v>7</x:v>
      </x:c>
      <x:c r="P140" s="17" t="n">
        <x:f>SUMIF($E$6:E139,E140,$O$6:O139)</x:f>
        <x:v>40.5159</x:v>
      </x:c>
      <x:c r="Q140" s="18" t="n">
        <x:f>SUMIF($E$6:E139,E140,$S$6:S139)</x:f>
        <x:v>5854.14</x:v>
      </x:c>
      <x:c r="R140" s="18" t="n">
        <x:f>IF(P140&gt;0,Q140/P140,0)</x:f>
        <x:v>144.48994098613136</x:v>
      </x:c>
      <x:c r="S140" s="18" t="n">
        <x:f>IF(F140="BUY",-H140,IF(F140="SELL",-G140*R140,0))</x:f>
        <x:v>1070.37</x:v>
      </x:c>
      <x:c r="T140" s="18" t="n">
        <x:f>IF(F140="SELL",IF(G140&gt;P140+0.000001,"REVIEW",H140-G140*R140),0)</x:f>
        <x:v>0</x:v>
      </x:c>
      <x:c r="U140" s="17" t="n">
        <x:f>P140+O140</x:f>
        <x:v>47.5159</x:v>
      </x:c>
      <x:c r="V140" s="18" t="n">
        <x:f>Q140+S140</x:f>
        <x:v>6924.51</x:v>
      </x:c>
      <x:c r="W140" s="18" t="n">
        <x:f>IF(F140="DIV",H140,0)</x:f>
        <x:v>0</x:v>
      </x:c>
      <x:c r="X140" s="18" t="n">
        <x:f>IF(F140="CONT",H140,0)</x:f>
        <x:v>0</x:v>
      </x:c>
      <x:c r="Y140" s="2" t="str">
        <x:f>TEXT(C140,"yyyy-mm")</x:f>
        <x:v>2025-01</x:v>
      </x:c>
      <x:c r="Z140" s="2" t="str">
        <x:f>IF(OR(AND(F140="STKREORG",N140&lt;&gt;"Applied 4-for-1 CDR split"),AND(F140="SELL",G140&gt;P140+0.000001)),"REVIEW","OK")</x:f>
        <x:v>OK</x:v>
      </x:c>
    </x:row>
    <x:row r="141" ht="21" customHeight="1">
      <x:c r="A141" s="2"/>
      <x:c r="B141" s="2" t="str">
        <x:v>25040f438225138faad1</x:v>
      </x:c>
      <x:c r="C141" s="16" t="d">
        <x:v>2025-01-28T00:00:00.000Z</x:v>
      </x:c>
      <x:c r="D141" s="16" t="d">
        <x:v>2025-01-27T00:00:00.000Z</x:v>
      </x:c>
      <x:c r="E141" s="2" t="str">
        <x:v>FINN_ORD</x:v>
      </x:c>
      <x:c r="F141" s="2" t="str">
        <x:v>BUY</x:v>
      </x:c>
      <x:c r="G141" s="17" t="n">
        <x:v>45</x:v>
      </x:c>
      <x:c r="H141" s="18" t="n">
        <x:v>-880.2</x:v>
      </x:c>
      <x:c r="I141" s="18" t="str">
        <x:v>CAD</x:v>
      </x:c>
      <x:c r="J141" s="18" t="n">
        <x:v>79.87</x:v>
      </x:c>
      <x:c r="K141" s="2" t="str">
        <x:v>TFSA-monthly-statement-transactions-DEMO_CAD-2025-01-01.csv</x:v>
      </x:c>
      <x:c r="L141" s="2" t="n">
        <x:v>21</x:v>
      </x:c>
      <x:c r="M141" s="2" t="str">
        <x:v>FINN - Fidelity Global Innovators ETF - Series L: Bought 45.0000 shares (executed at 2025-01-27)</x:v>
      </x:c>
      <x:c r="N141" s="2" t="str">
        <x:v>Imported</x:v>
      </x:c>
      <x:c r="O141" s="17" t="n">
        <x:f>IF(F141="BUY",G141,IF(F141="SELL",-G141,IF(AND(F141="STKREORG",N141="Applied 4-for-1 CDR split"),G141,0)))</x:f>
        <x:v>45</x:v>
      </x:c>
      <x:c r="P141" s="17" t="n">
        <x:f>SUMIF($E$6:E140,E141,$O$6:O140)</x:f>
        <x:v>0</x:v>
      </x:c>
      <x:c r="Q141" s="18" t="n">
        <x:f>SUMIF($E$6:E140,E141,$S$6:S140)</x:f>
        <x:v>0</x:v>
      </x:c>
      <x:c r="R141" s="18" t="n">
        <x:f>IF(P141&gt;0,Q141/P141,0)</x:f>
        <x:v>0</x:v>
      </x:c>
      <x:c r="S141" s="18" t="n">
        <x:f>IF(F141="BUY",-H141,IF(F141="SELL",-G141*R141,0))</x:f>
        <x:v>880.2</x:v>
      </x:c>
      <x:c r="T141" s="18" t="n">
        <x:f>IF(F141="SELL",IF(G141&gt;P141+0.000001,"REVIEW",H141-G141*R141),0)</x:f>
        <x:v>0</x:v>
      </x:c>
      <x:c r="U141" s="17" t="n">
        <x:f>P141+O141</x:f>
        <x:v>45</x:v>
      </x:c>
      <x:c r="V141" s="18" t="n">
        <x:f>Q141+S141</x:f>
        <x:v>880.2</x:v>
      </x:c>
      <x:c r="W141" s="18" t="n">
        <x:f>IF(F141="DIV",H141,0)</x:f>
        <x:v>0</x:v>
      </x:c>
      <x:c r="X141" s="18" t="n">
        <x:f>IF(F141="CONT",H141,0)</x:f>
        <x:v>0</x:v>
      </x:c>
      <x:c r="Y141" s="2" t="str">
        <x:f>TEXT(C141,"yyyy-mm")</x:f>
        <x:v>2025-01</x:v>
      </x:c>
      <x:c r="Z141" s="2" t="str">
        <x:f>IF(OR(AND(F141="STKREORG",N141&lt;&gt;"Applied 4-for-1 CDR split"),AND(F141="SELL",G141&gt;P141+0.000001)),"REVIEW","OK")</x:f>
        <x:v>OK</x:v>
      </x:c>
    </x:row>
    <x:row r="142" ht="21" customHeight="1">
      <x:c r="A142" s="2"/>
      <x:c r="B142" s="2" t="str">
        <x:v>24496e8552ccddf1a065</x:v>
      </x:c>
      <x:c r="C142" s="16" t="d">
        <x:v>2025-01-29T00:00:00.000Z</x:v>
      </x:c>
      <x:c r="D142" s="16" t="d">
        <x:v>2025-01-28T00:00:00.000Z</x:v>
      </x:c>
      <x:c r="E142" s="2" t="str">
        <x:v>VFV_ORD</x:v>
      </x:c>
      <x:c r="F142" s="2" t="str">
        <x:v>BUY</x:v>
      </x:c>
      <x:c r="G142" s="17" t="n">
        <x:v>0.5151</x:v>
      </x:c>
      <x:c r="H142" s="18" t="n">
        <x:v>-79.86</x:v>
      </x:c>
      <x:c r="I142" s="18" t="str">
        <x:v>CAD</x:v>
      </x:c>
      <x:c r="J142" s="18" t="n">
        <x:v>0.01</x:v>
      </x:c>
      <x:c r="K142" s="2" t="str">
        <x:v>TFSA-monthly-statement-transactions-DEMO_CAD-2025-01-01.csv</x:v>
      </x:c>
      <x:c r="L142" s="2" t="n">
        <x:v>22</x:v>
      </x:c>
      <x:c r="M142" s="2" t="str">
        <x:v>VFV - Vanguard S&amp;P 500 Index ETF: Bought 0.5151 shares (executed at 2025-01-28)</x:v>
      </x:c>
      <x:c r="N142" s="2" t="str">
        <x:v>Imported</x:v>
      </x:c>
      <x:c r="O142" s="17" t="n">
        <x:f>IF(F142="BUY",G142,IF(F142="SELL",-G142,IF(AND(F142="STKREORG",N142="Applied 4-for-1 CDR split"),G142,0)))</x:f>
        <x:v>0.5151</x:v>
      </x:c>
      <x:c r="P142" s="17" t="n">
        <x:f>SUMIF($E$6:E141,E142,$O$6:O141)</x:f>
        <x:v>47.5159</x:v>
      </x:c>
      <x:c r="Q142" s="18" t="n">
        <x:f>SUMIF($E$6:E141,E142,$S$6:S141)</x:f>
        <x:v>6924.51</x:v>
      </x:c>
      <x:c r="R142" s="18" t="n">
        <x:f>IF(P142&gt;0,Q142/P142,0)</x:f>
        <x:v>145.73037656868541</x:v>
      </x:c>
      <x:c r="S142" s="18" t="n">
        <x:f>IF(F142="BUY",-H142,IF(F142="SELL",-G142*R142,0))</x:f>
        <x:v>79.86</x:v>
      </x:c>
      <x:c r="T142" s="18" t="n">
        <x:f>IF(F142="SELL",IF(G142&gt;P142+0.000001,"REVIEW",H142-G142*R142),0)</x:f>
        <x:v>0</x:v>
      </x:c>
      <x:c r="U142" s="17" t="n">
        <x:f>P142+O142</x:f>
        <x:v>48.031</x:v>
      </x:c>
      <x:c r="V142" s="18" t="n">
        <x:f>Q142+S142</x:f>
        <x:v>7004.37</x:v>
      </x:c>
      <x:c r="W142" s="18" t="n">
        <x:f>IF(F142="DIV",H142,0)</x:f>
        <x:v>0</x:v>
      </x:c>
      <x:c r="X142" s="18" t="n">
        <x:f>IF(F142="CONT",H142,0)</x:f>
        <x:v>0</x:v>
      </x:c>
      <x:c r="Y142" s="2" t="str">
        <x:f>TEXT(C142,"yyyy-mm")</x:f>
        <x:v>2025-01</x:v>
      </x:c>
      <x:c r="Z142" s="2" t="str">
        <x:f>IF(OR(AND(F142="STKREORG",N142&lt;&gt;"Applied 4-for-1 CDR split"),AND(F142="SELL",G142&gt;P142+0.000001)),"REVIEW","OK")</x:f>
        <x:v>OK</x:v>
      </x:c>
    </x:row>
    <x:row r="143" ht="21" customHeight="1">
      <x:c r="A143" s="2"/>
      <x:c r="B143" s="2" t="str">
        <x:v>c56873033ed9d27ad6b8</x:v>
      </x:c>
      <x:c r="C143" s="16" t="d">
        <x:v>2025-01-31T00:00:00.000Z</x:v>
      </x:c>
      <x:c r="D143" s="16" t="d">
        <x:v>2025-01-31T00:00:00.000Z</x:v>
      </x:c>
      <x:c r="E143" s="2" t="str">
        <x:v>CPX_ORD</x:v>
      </x:c>
      <x:c r="F143" s="2" t="str">
        <x:v>DIV</x:v>
      </x:c>
      <x:c r="G143" s="17" t="n">
        <x:v>0</x:v>
      </x:c>
      <x:c r="H143" s="18" t="n">
        <x:v>5.22</x:v>
      </x:c>
      <x:c r="I143" s="18" t="str">
        <x:v>CAD</x:v>
      </x:c>
      <x:c r="J143" s="18" t="n">
        <x:v>5.23</x:v>
      </x:c>
      <x:c r="K143" s="2" t="str">
        <x:v>TFSA-monthly-statement-transactions-DEMO_CAD-2025-01-01.csv</x:v>
      </x:c>
      <x:c r="L143" s="2" t="n">
        <x:v>23</x:v>
      </x:c>
      <x:c r="M143" s="2" t="str">
        <x:v>CPX - Capital Power Corp: Cash dividend distribution, received on 2025-01-31, record date of 2024-12-31</x:v>
      </x:c>
      <x:c r="N143" s="2" t="str">
        <x:v>Imported</x:v>
      </x:c>
      <x:c r="O143" s="17" t="n">
        <x:f>IF(F143="BUY",G143,IF(F143="SELL",-G143,IF(AND(F143="STKREORG",N143="Applied 4-for-1 CDR split"),G143,0)))</x:f>
        <x:v>0</x:v>
      </x:c>
      <x:c r="P143" s="17" t="n">
        <x:f>SUMIF($E$6:E142,E143,$O$6:O142)</x:f>
        <x:v>9</x:v>
      </x:c>
      <x:c r="Q143" s="18" t="n">
        <x:f>SUMIF($E$6:E142,E143,$S$6:S142)</x:f>
        <x:v>555.62</x:v>
      </x:c>
      <x:c r="R143" s="18" t="n">
        <x:f>IF(P143&gt;0,Q143/P143,0)</x:f>
        <x:v>61.73555555555556</x:v>
      </x:c>
      <x:c r="S143" s="18" t="n">
        <x:f>IF(F143="BUY",-H143,IF(F143="SELL",-G143*R143,0))</x:f>
        <x:v>0</x:v>
      </x:c>
      <x:c r="T143" s="18" t="n">
        <x:f>IF(F143="SELL",IF(G143&gt;P143+0.000001,"REVIEW",H143-G143*R143),0)</x:f>
        <x:v>0</x:v>
      </x:c>
      <x:c r="U143" s="17" t="n">
        <x:f>P143+O143</x:f>
        <x:v>9</x:v>
      </x:c>
      <x:c r="V143" s="18" t="n">
        <x:f>Q143+S143</x:f>
        <x:v>555.62</x:v>
      </x:c>
      <x:c r="W143" s="18" t="n">
        <x:f>IF(F143="DIV",H143,0)</x:f>
        <x:v>5.22</x:v>
      </x:c>
      <x:c r="X143" s="18" t="n">
        <x:f>IF(F143="CONT",H143,0)</x:f>
        <x:v>0</x:v>
      </x:c>
      <x:c r="Y143" s="2" t="str">
        <x:f>TEXT(C143,"yyyy-mm")</x:f>
        <x:v>2025-01</x:v>
      </x:c>
      <x:c r="Z143" s="2" t="str">
        <x:f>IF(OR(AND(F143="STKREORG",N143&lt;&gt;"Applied 4-for-1 CDR split"),AND(F143="SELL",G143&gt;P143+0.000001)),"REVIEW","OK")</x:f>
        <x:v>OK</x:v>
      </x:c>
    </x:row>
    <x:row r="144" ht="21" customHeight="1">
      <x:c r="A144" s="2"/>
      <x:c r="B144" s="2" t="str">
        <x:v>512deab1f65fba5873b9</x:v>
      </x:c>
      <x:c r="C144" s="16" t="d">
        <x:v>2025-01-31T00:00:00.000Z</x:v>
      </x:c>
      <x:c r="D144" s="16" t="d">
        <x:v>2025-01-31T00:00:00.000Z</x:v>
      </x:c>
      <x:c r="E144" s="2" t="str">
        <x:v>TD_ORD</x:v>
      </x:c>
      <x:c r="F144" s="2" t="str">
        <x:v>DIV</x:v>
      </x:c>
      <x:c r="G144" s="17" t="n">
        <x:v>0</x:v>
      </x:c>
      <x:c r="H144" s="18" t="n">
        <x:v>6.3</x:v>
      </x:c>
      <x:c r="I144" s="18" t="str">
        <x:v>CAD</x:v>
      </x:c>
      <x:c r="J144" s="18" t="n">
        <x:v>11.53</x:v>
      </x:c>
      <x:c r="K144" s="2" t="str">
        <x:v>TFSA-monthly-statement-transactions-DEMO_CAD-2025-01-01.csv</x:v>
      </x:c>
      <x:c r="L144" s="2" t="n">
        <x:v>24</x:v>
      </x:c>
      <x:c r="M144" s="2" t="str">
        <x:v>TD - The Toronto-Dominion Bank: Cash dividend distribution, received on 2025-01-31, record date of 2025-01-10</x:v>
      </x:c>
      <x:c r="N144" s="2" t="str">
        <x:v>Imported</x:v>
      </x:c>
      <x:c r="O144" s="17" t="n">
        <x:f>IF(F144="BUY",G144,IF(F144="SELL",-G144,IF(AND(F144="STKREORG",N144="Applied 4-for-1 CDR split"),G144,0)))</x:f>
        <x:v>0</x:v>
      </x:c>
      <x:c r="P144" s="17" t="n">
        <x:f>SUMIF($E$6:E143,E144,$O$6:O143)</x:f>
        <x:v>6</x:v>
      </x:c>
      <x:c r="Q144" s="18" t="n">
        <x:f>SUMIF($E$6:E143,E144,$S$6:S143)</x:f>
        <x:v>492.34</x:v>
      </x:c>
      <x:c r="R144" s="18" t="n">
        <x:f>IF(P144&gt;0,Q144/P144,0)</x:f>
        <x:v>82.05666666666666</x:v>
      </x:c>
      <x:c r="S144" s="18" t="n">
        <x:f>IF(F144="BUY",-H144,IF(F144="SELL",-G144*R144,0))</x:f>
        <x:v>0</x:v>
      </x:c>
      <x:c r="T144" s="18" t="n">
        <x:f>IF(F144="SELL",IF(G144&gt;P144+0.000001,"REVIEW",H144-G144*R144),0)</x:f>
        <x:v>0</x:v>
      </x:c>
      <x:c r="U144" s="17" t="n">
        <x:f>P144+O144</x:f>
        <x:v>6</x:v>
      </x:c>
      <x:c r="V144" s="18" t="n">
        <x:f>Q144+S144</x:f>
        <x:v>492.34</x:v>
      </x:c>
      <x:c r="W144" s="18" t="n">
        <x:f>IF(F144="DIV",H144,0)</x:f>
        <x:v>6.3</x:v>
      </x:c>
      <x:c r="X144" s="18" t="n">
        <x:f>IF(F144="CONT",H144,0)</x:f>
        <x:v>0</x:v>
      </x:c>
      <x:c r="Y144" s="2" t="str">
        <x:f>TEXT(C144,"yyyy-mm")</x:f>
        <x:v>2025-01</x:v>
      </x:c>
      <x:c r="Z144" s="2" t="str">
        <x:f>IF(OR(AND(F144="STKREORG",N144&lt;&gt;"Applied 4-for-1 CDR split"),AND(F144="SELL",G144&gt;P144+0.000001)),"REVIEW","OK")</x:f>
        <x:v>OK</x:v>
      </x:c>
    </x:row>
    <x:row r="145" ht="21" customHeight="1">
      <x:c r="A145" s="2"/>
      <x:c r="B145" s="2" t="str">
        <x:v>65569a1cf02ab934346b</x:v>
      </x:c>
      <x:c r="C145" s="16" t="d">
        <x:v>2025-02-03T00:00:00.000Z</x:v>
      </x:c>
      <x:c r="D145" s="16" t="d">
        <x:v>2025-02-03T00:00:00.000Z</x:v>
      </x:c>
      <x:c r="E145" s="2" t="str"/>
      <x:c r="F145" s="2" t="str">
        <x:v>CONT</x:v>
      </x:c>
      <x:c r="G145" s="17" t="n">
        <x:v>0</x:v>
      </x:c>
      <x:c r="H145" s="18" t="n">
        <x:v>500</x:v>
      </x:c>
      <x:c r="I145" s="18" t="str">
        <x:v>CAD</x:v>
      </x:c>
      <x:c r="J145" s="18" t="n">
        <x:v>511.53</x:v>
      </x:c>
      <x:c r="K145" s="2" t="str">
        <x:v>TFSA-monthly-statement-transactions-DEMO_CAD-2025-02-01.csv</x:v>
      </x:c>
      <x:c r="L145" s="2" t="n">
        <x:v>2</x:v>
      </x:c>
      <x:c r="M145" s="2" t="str">
        <x:v>Contribution (executed at 2025-02-03)</x:v>
      </x:c>
      <x:c r="N145" s="2" t="str">
        <x:v>Imported</x:v>
      </x:c>
      <x:c r="O145" s="17" t="n">
        <x:f>IF(F145="BUY",G145,IF(F145="SELL",-G145,IF(AND(F145="STKREORG",N145="Applied 4-for-1 CDR split"),G145,0)))</x:f>
        <x:v>0</x:v>
      </x:c>
      <x:c r="P145" s="17" t="n">
        <x:f>SUMIF($E$6:E144,E145,$O$6:O144)</x:f>
        <x:v>0</x:v>
      </x:c>
      <x:c r="Q145" s="18" t="n">
        <x:f>SUMIF($E$6:E144,E145,$S$6:S144)</x:f>
        <x:v>0</x:v>
      </x:c>
      <x:c r="R145" s="18" t="n">
        <x:f>IF(P145&gt;0,Q145/P145,0)</x:f>
        <x:v>0</x:v>
      </x:c>
      <x:c r="S145" s="18" t="n">
        <x:f>IF(F145="BUY",-H145,IF(F145="SELL",-G145*R145,0))</x:f>
        <x:v>0</x:v>
      </x:c>
      <x:c r="T145" s="18" t="n">
        <x:f>IF(F145="SELL",IF(G145&gt;P145+0.000001,"REVIEW",H145-G145*R145),0)</x:f>
        <x:v>0</x:v>
      </x:c>
      <x:c r="U145" s="17" t="n">
        <x:f>P145+O145</x:f>
        <x:v>0</x:v>
      </x:c>
      <x:c r="V145" s="18" t="n">
        <x:f>Q145+S145</x:f>
        <x:v>0</x:v>
      </x:c>
      <x:c r="W145" s="18" t="n">
        <x:f>IF(F145="DIV",H145,0)</x:f>
        <x:v>0</x:v>
      </x:c>
      <x:c r="X145" s="18" t="n">
        <x:f>IF(F145="CONT",H145,0)</x:f>
        <x:v>500</x:v>
      </x:c>
      <x:c r="Y145" s="2" t="str">
        <x:f>TEXT(C145,"yyyy-mm")</x:f>
        <x:v>2025-02</x:v>
      </x:c>
      <x:c r="Z145" s="2" t="str">
        <x:f>IF(OR(AND(F145="STKREORG",N145&lt;&gt;"Applied 4-for-1 CDR split"),AND(F145="SELL",G145&gt;P145+0.000001)),"REVIEW","OK")</x:f>
        <x:v>OK</x:v>
      </x:c>
    </x:row>
    <x:row r="146" ht="21" customHeight="1">
      <x:c r="A146" s="2"/>
      <x:c r="B146" s="2" t="str">
        <x:v>dd2739ad36c1ee6ed9d1</x:v>
      </x:c>
      <x:c r="C146" s="16" t="d">
        <x:v>2025-02-04T00:00:00.000Z</x:v>
      </x:c>
      <x:c r="D146" s="16" t="d">
        <x:v>2025-02-03T00:00:00.000Z</x:v>
      </x:c>
      <x:c r="E146" s="2" t="str">
        <x:v>VFV_ORD</x:v>
      </x:c>
      <x:c r="F146" s="2" t="str">
        <x:v>BUY</x:v>
      </x:c>
      <x:c r="G146" s="17" t="n">
        <x:v>2</x:v>
      </x:c>
      <x:c r="H146" s="18" t="n">
        <x:v>-307.98</x:v>
      </x:c>
      <x:c r="I146" s="18" t="str">
        <x:v>CAD</x:v>
      </x:c>
      <x:c r="J146" s="18" t="n">
        <x:v>203.55</x:v>
      </x:c>
      <x:c r="K146" s="2" t="str">
        <x:v>TFSA-monthly-statement-transactions-DEMO_CAD-2025-02-01.csv</x:v>
      </x:c>
      <x:c r="L146" s="2" t="n">
        <x:v>3</x:v>
      </x:c>
      <x:c r="M146" s="2" t="str">
        <x:v>VFV - Vanguard S&amp;P 500 Index ETF: Bought 2.0000 shares (executed at 2025-02-03)</x:v>
      </x:c>
      <x:c r="N146" s="2" t="str">
        <x:v>Imported</x:v>
      </x:c>
      <x:c r="O146" s="17" t="n">
        <x:f>IF(F146="BUY",G146,IF(F146="SELL",-G146,IF(AND(F146="STKREORG",N146="Applied 4-for-1 CDR split"),G146,0)))</x:f>
        <x:v>2</x:v>
      </x:c>
      <x:c r="P146" s="17" t="n">
        <x:f>SUMIF($E$6:E145,E146,$O$6:O145)</x:f>
        <x:v>48.031</x:v>
      </x:c>
      <x:c r="Q146" s="18" t="n">
        <x:f>SUMIF($E$6:E145,E146,$S$6:S145)</x:f>
        <x:v>7004.37</x:v>
      </x:c>
      <x:c r="R146" s="18" t="n">
        <x:f>IF(P146&gt;0,Q146/P146,0)</x:f>
        <x:v>145.83019300035394</x:v>
      </x:c>
      <x:c r="S146" s="18" t="n">
        <x:f>IF(F146="BUY",-H146,IF(F146="SELL",-G146*R146,0))</x:f>
        <x:v>307.98</x:v>
      </x:c>
      <x:c r="T146" s="18" t="n">
        <x:f>IF(F146="SELL",IF(G146&gt;P146+0.000001,"REVIEW",H146-G146*R146),0)</x:f>
        <x:v>0</x:v>
      </x:c>
      <x:c r="U146" s="17" t="n">
        <x:f>P146+O146</x:f>
        <x:v>50.031</x:v>
      </x:c>
      <x:c r="V146" s="18" t="n">
        <x:f>Q146+S146</x:f>
        <x:v>7312.35</x:v>
      </x:c>
      <x:c r="W146" s="18" t="n">
        <x:f>IF(F146="DIV",H146,0)</x:f>
        <x:v>0</x:v>
      </x:c>
      <x:c r="X146" s="18" t="n">
        <x:f>IF(F146="CONT",H146,0)</x:f>
        <x:v>0</x:v>
      </x:c>
      <x:c r="Y146" s="2" t="str">
        <x:f>TEXT(C146,"yyyy-mm")</x:f>
        <x:v>2025-02</x:v>
      </x:c>
      <x:c r="Z146" s="2" t="str">
        <x:f>IF(OR(AND(F146="STKREORG",N146&lt;&gt;"Applied 4-for-1 CDR split"),AND(F146="SELL",G146&gt;P146+0.000001)),"REVIEW","OK")</x:f>
        <x:v>OK</x:v>
      </x:c>
    </x:row>
    <x:row r="147" ht="21" customHeight="1">
      <x:c r="A147" s="2"/>
      <x:c r="B147" s="2" t="str">
        <x:v>44206155e3e07ab02922</x:v>
      </x:c>
      <x:c r="C147" s="16" t="d">
        <x:v>2025-02-04T00:00:00.000Z</x:v>
      </x:c>
      <x:c r="D147" s="16" t="d">
        <x:v>2025-02-03T00:00:00.000Z</x:v>
      </x:c>
      <x:c r="E147" s="2" t="str">
        <x:v>FINN_ORD</x:v>
      </x:c>
      <x:c r="F147" s="2" t="str">
        <x:v>BUY</x:v>
      </x:c>
      <x:c r="G147" s="17" t="n">
        <x:v>5</x:v>
      </x:c>
      <x:c r="H147" s="18" t="n">
        <x:v>-100.45</x:v>
      </x:c>
      <x:c r="I147" s="18" t="str">
        <x:v>CAD</x:v>
      </x:c>
      <x:c r="J147" s="18" t="n">
        <x:v>103.1</x:v>
      </x:c>
      <x:c r="K147" s="2" t="str">
        <x:v>TFSA-monthly-statement-transactions-DEMO_CAD-2025-02-01.csv</x:v>
      </x:c>
      <x:c r="L147" s="2" t="n">
        <x:v>4</x:v>
      </x:c>
      <x:c r="M147" s="2" t="str">
        <x:v>FINN - Fidelity Global Innovators ETF - Series L: Bought 5.0000 shares (executed at 2025-02-03)</x:v>
      </x:c>
      <x:c r="N147" s="2" t="str">
        <x:v>Imported</x:v>
      </x:c>
      <x:c r="O147" s="17" t="n">
        <x:f>IF(F147="BUY",G147,IF(F147="SELL",-G147,IF(AND(F147="STKREORG",N147="Applied 4-for-1 CDR split"),G147,0)))</x:f>
        <x:v>5</x:v>
      </x:c>
      <x:c r="P147" s="17" t="n">
        <x:f>SUMIF($E$6:E146,E147,$O$6:O146)</x:f>
        <x:v>45</x:v>
      </x:c>
      <x:c r="Q147" s="18" t="n">
        <x:f>SUMIF($E$6:E146,E147,$S$6:S146)</x:f>
        <x:v>880.2</x:v>
      </x:c>
      <x:c r="R147" s="18" t="n">
        <x:f>IF(P147&gt;0,Q147/P147,0)</x:f>
        <x:v>19.560000000000002</x:v>
      </x:c>
      <x:c r="S147" s="18" t="n">
        <x:f>IF(F147="BUY",-H147,IF(F147="SELL",-G147*R147,0))</x:f>
        <x:v>100.45</x:v>
      </x:c>
      <x:c r="T147" s="18" t="n">
        <x:f>IF(F147="SELL",IF(G147&gt;P147+0.000001,"REVIEW",H147-G147*R147),0)</x:f>
        <x:v>0</x:v>
      </x:c>
      <x:c r="U147" s="17" t="n">
        <x:f>P147+O147</x:f>
        <x:v>50</x:v>
      </x:c>
      <x:c r="V147" s="18" t="n">
        <x:f>Q147+S147</x:f>
        <x:v>980.6500000000001</x:v>
      </x:c>
      <x:c r="W147" s="18" t="n">
        <x:f>IF(F147="DIV",H147,0)</x:f>
        <x:v>0</x:v>
      </x:c>
      <x:c r="X147" s="18" t="n">
        <x:f>IF(F147="CONT",H147,0)</x:f>
        <x:v>0</x:v>
      </x:c>
      <x:c r="Y147" s="2" t="str">
        <x:f>TEXT(C147,"yyyy-mm")</x:f>
        <x:v>2025-02</x:v>
      </x:c>
      <x:c r="Z147" s="2" t="str">
        <x:f>IF(OR(AND(F147="STKREORG",N147&lt;&gt;"Applied 4-for-1 CDR split"),AND(F147="SELL",G147&gt;P147+0.000001)),"REVIEW","OK")</x:f>
        <x:v>OK</x:v>
      </x:c>
    </x:row>
    <x:row r="148" ht="21" customHeight="1">
      <x:c r="A148" s="2"/>
      <x:c r="B148" s="2" t="str">
        <x:v>83e5174339274fd45e2b</x:v>
      </x:c>
      <x:c r="C148" s="16" t="d">
        <x:v>2025-02-04T00:00:00.000Z</x:v>
      </x:c>
      <x:c r="D148" s="16" t="d">
        <x:v>2025-02-03T00:00:00.000Z</x:v>
      </x:c>
      <x:c r="E148" s="2" t="str">
        <x:v>XEQT_ORD</x:v>
      </x:c>
      <x:c r="F148" s="2" t="str">
        <x:v>BUY</x:v>
      </x:c>
      <x:c r="G148" s="17" t="n">
        <x:v>2</x:v>
      </x:c>
      <x:c r="H148" s="18" t="n">
        <x:v>-69.54</x:v>
      </x:c>
      <x:c r="I148" s="18" t="str">
        <x:v>CAD</x:v>
      </x:c>
      <x:c r="J148" s="18" t="n">
        <x:v>33.56</x:v>
      </x:c>
      <x:c r="K148" s="2" t="str">
        <x:v>TFSA-monthly-statement-transactions-DEMO_CAD-2025-02-01.csv</x:v>
      </x:c>
      <x:c r="L148" s="2" t="n">
        <x:v>5</x:v>
      </x:c>
      <x:c r="M148" s="2" t="str">
        <x:v>XEQT - iShares Core Equity ETF Portfolio: Bought 2.0000 shares (executed at 2025-02-03)</x:v>
      </x:c>
      <x:c r="N148" s="2" t="str">
        <x:v>Imported</x:v>
      </x:c>
      <x:c r="O148" s="17" t="n">
        <x:f>IF(F148="BUY",G148,IF(F148="SELL",-G148,IF(AND(F148="STKREORG",N148="Applied 4-for-1 CDR split"),G148,0)))</x:f>
        <x:v>2</x:v>
      </x:c>
      <x:c r="P148" s="17" t="n">
        <x:f>SUMIF($E$6:E147,E148,$O$6:O147)</x:f>
        <x:v>162.6174</x:v>
      </x:c>
      <x:c r="Q148" s="18" t="n">
        <x:f>SUMIF($E$6:E147,E148,$S$6:S147)</x:f>
        <x:v>5240.33</x:v>
      </x:c>
      <x:c r="R148" s="18" t="n">
        <x:f>IF(P148&gt;0,Q148/P148,0)</x:f>
        <x:v>32.22490336212484</x:v>
      </x:c>
      <x:c r="S148" s="18" t="n">
        <x:f>IF(F148="BUY",-H148,IF(F148="SELL",-G148*R148,0))</x:f>
        <x:v>69.54</x:v>
      </x:c>
      <x:c r="T148" s="18" t="n">
        <x:f>IF(F148="SELL",IF(G148&gt;P148+0.000001,"REVIEW",H148-G148*R148),0)</x:f>
        <x:v>0</x:v>
      </x:c>
      <x:c r="U148" s="17" t="n">
        <x:f>P148+O148</x:f>
        <x:v>164.6174</x:v>
      </x:c>
      <x:c r="V148" s="18" t="n">
        <x:f>Q148+S148</x:f>
        <x:v>5309.87</x:v>
      </x:c>
      <x:c r="W148" s="18" t="n">
        <x:f>IF(F148="DIV",H148,0)</x:f>
        <x:v>0</x:v>
      </x:c>
      <x:c r="X148" s="18" t="n">
        <x:f>IF(F148="CONT",H148,0)</x:f>
        <x:v>0</x:v>
      </x:c>
      <x:c r="Y148" s="2" t="str">
        <x:f>TEXT(C148,"yyyy-mm")</x:f>
        <x:v>2025-02</x:v>
      </x:c>
      <x:c r="Z148" s="2" t="str">
        <x:f>IF(OR(AND(F148="STKREORG",N148&lt;&gt;"Applied 4-for-1 CDR split"),AND(F148="SELL",G148&gt;P148+0.000001)),"REVIEW","OK")</x:f>
        <x:v>OK</x:v>
      </x:c>
    </x:row>
    <x:row r="149" ht="21" customHeight="1">
      <x:c r="A149" s="2"/>
      <x:c r="B149" s="2" t="str">
        <x:v>ba7b870ca369c5e323ba</x:v>
      </x:c>
      <x:c r="C149" s="16" t="d">
        <x:v>2025-02-04T00:00:00.000Z</x:v>
      </x:c>
      <x:c r="D149" s="16" t="d">
        <x:v>2025-02-03T00:00:00.000Z</x:v>
      </x:c>
      <x:c r="E149" s="2" t="str">
        <x:v>FINN_ORD</x:v>
      </x:c>
      <x:c r="F149" s="2" t="str">
        <x:v>BUY</x:v>
      </x:c>
      <x:c r="G149" s="17" t="n">
        <x:v>1</x:v>
      </x:c>
      <x:c r="H149" s="18" t="n">
        <x:v>-20.24</x:v>
      </x:c>
      <x:c r="I149" s="18" t="str">
        <x:v>CAD</x:v>
      </x:c>
      <x:c r="J149" s="18" t="n">
        <x:v>13.32</x:v>
      </x:c>
      <x:c r="K149" s="2" t="str">
        <x:v>TFSA-monthly-statement-transactions-DEMO_CAD-2025-02-01.csv</x:v>
      </x:c>
      <x:c r="L149" s="2" t="n">
        <x:v>6</x:v>
      </x:c>
      <x:c r="M149" s="2" t="str">
        <x:v>FINN - Fidelity Global Innovators ETF - Series L: Bought 1.0000 shares (executed at 2025-02-03)</x:v>
      </x:c>
      <x:c r="N149" s="2" t="str">
        <x:v>Imported</x:v>
      </x:c>
      <x:c r="O149" s="17" t="n">
        <x:f>IF(F149="BUY",G149,IF(F149="SELL",-G149,IF(AND(F149="STKREORG",N149="Applied 4-for-1 CDR split"),G149,0)))</x:f>
        <x:v>1</x:v>
      </x:c>
      <x:c r="P149" s="17" t="n">
        <x:f>SUMIF($E$6:E148,E149,$O$6:O148)</x:f>
        <x:v>50</x:v>
      </x:c>
      <x:c r="Q149" s="18" t="n">
        <x:f>SUMIF($E$6:E148,E149,$S$6:S148)</x:f>
        <x:v>980.6500000000001</x:v>
      </x:c>
      <x:c r="R149" s="18" t="n">
        <x:f>IF(P149&gt;0,Q149/P149,0)</x:f>
        <x:v>19.613000000000003</x:v>
      </x:c>
      <x:c r="S149" s="18" t="n">
        <x:f>IF(F149="BUY",-H149,IF(F149="SELL",-G149*R149,0))</x:f>
        <x:v>20.24</x:v>
      </x:c>
      <x:c r="T149" s="18" t="n">
        <x:f>IF(F149="SELL",IF(G149&gt;P149+0.000001,"REVIEW",H149-G149*R149),0)</x:f>
        <x:v>0</x:v>
      </x:c>
      <x:c r="U149" s="17" t="n">
        <x:f>P149+O149</x:f>
        <x:v>51</x:v>
      </x:c>
      <x:c r="V149" s="18" t="n">
        <x:f>Q149+S149</x:f>
        <x:v>1000.8900000000001</x:v>
      </x:c>
      <x:c r="W149" s="18" t="n">
        <x:f>IF(F149="DIV",H149,0)</x:f>
        <x:v>0</x:v>
      </x:c>
      <x:c r="X149" s="18" t="n">
        <x:f>IF(F149="CONT",H149,0)</x:f>
        <x:v>0</x:v>
      </x:c>
      <x:c r="Y149" s="2" t="str">
        <x:f>TEXT(C149,"yyyy-mm")</x:f>
        <x:v>2025-02</x:v>
      </x:c>
      <x:c r="Z149" s="2" t="str">
        <x:f>IF(OR(AND(F149="STKREORG",N149&lt;&gt;"Applied 4-for-1 CDR split"),AND(F149="SELL",G149&gt;P149+0.000001)),"REVIEW","OK")</x:f>
        <x:v>OK</x:v>
      </x:c>
    </x:row>
    <x:row r="150" ht="21" customHeight="1">
      <x:c r="A150" s="2"/>
      <x:c r="B150" s="2" t="str">
        <x:v>66fb84268636282dfee1</x:v>
      </x:c>
      <x:c r="C150" s="16" t="d">
        <x:v>2025-02-11T00:00:00.000Z</x:v>
      </x:c>
      <x:c r="D150" s="16" t="d">
        <x:v>2025-02-10T00:00:00.000Z</x:v>
      </x:c>
      <x:c r="E150" s="2" t="str">
        <x:v>ENB_ORD</x:v>
      </x:c>
      <x:c r="F150" s="2" t="str">
        <x:v>SELL</x:v>
      </x:c>
      <x:c r="G150" s="17" t="n">
        <x:v>4</x:v>
      </x:c>
      <x:c r="H150" s="18" t="n">
        <x:v>257.08</x:v>
      </x:c>
      <x:c r="I150" s="18" t="str">
        <x:v>CAD</x:v>
      </x:c>
      <x:c r="J150" s="18" t="n">
        <x:v>270.4</x:v>
      </x:c>
      <x:c r="K150" s="2" t="str">
        <x:v>TFSA-monthly-statement-transactions-DEMO_CAD-2025-02-01.csv</x:v>
      </x:c>
      <x:c r="L150" s="2" t="n">
        <x:v>7</x:v>
      </x:c>
      <x:c r="M150" s="2" t="str">
        <x:v>ENB - Enbridge Inc: Sold 4.0000 shares (executed at 2025-02-10)</x:v>
      </x:c>
      <x:c r="N150" s="2" t="str">
        <x:v>Imported</x:v>
      </x:c>
      <x:c r="O150" s="17" t="n">
        <x:f>IF(F150="BUY",G150,IF(F150="SELL",-G150,IF(AND(F150="STKREORG",N150="Applied 4-for-1 CDR split"),G150,0)))</x:f>
        <x:v>-4</x:v>
      </x:c>
      <x:c r="P150" s="17" t="n">
        <x:f>SUMIF($E$6:E149,E150,$O$6:O149)</x:f>
        <x:v>4</x:v>
      </x:c>
      <x:c r="Q150" s="18" t="n">
        <x:f>SUMIF($E$6:E149,E150,$S$6:S149)</x:f>
        <x:v>252.32</x:v>
      </x:c>
      <x:c r="R150" s="18" t="n">
        <x:f>IF(P150&gt;0,Q150/P150,0)</x:f>
        <x:v>63.08</x:v>
      </x:c>
      <x:c r="S150" s="18" t="n">
        <x:f>IF(F150="BUY",-H150,IF(F150="SELL",-G150*R150,0))</x:f>
        <x:v>-252.32</x:v>
      </x:c>
      <x:c r="T150" s="18" t="n">
        <x:f>IF(F150="SELL",IF(G150&gt;P150+0.000001,"REVIEW",H150-G150*R150),0)</x:f>
        <x:v>4.759999999999991</x:v>
      </x:c>
      <x:c r="U150" s="17" t="n">
        <x:f>P150+O150</x:f>
        <x:v>0</x:v>
      </x:c>
      <x:c r="V150" s="18" t="n">
        <x:f>Q150+S150</x:f>
        <x:v>0</x:v>
      </x:c>
      <x:c r="W150" s="18" t="n">
        <x:f>IF(F150="DIV",H150,0)</x:f>
        <x:v>0</x:v>
      </x:c>
      <x:c r="X150" s="18" t="n">
        <x:f>IF(F150="CONT",H150,0)</x:f>
        <x:v>0</x:v>
      </x:c>
      <x:c r="Y150" s="2" t="str">
        <x:f>TEXT(C150,"yyyy-mm")</x:f>
        <x:v>2025-02</x:v>
      </x:c>
      <x:c r="Z150" s="2" t="str">
        <x:f>IF(OR(AND(F150="STKREORG",N150&lt;&gt;"Applied 4-for-1 CDR split"),AND(F150="SELL",G150&gt;P150+0.000001)),"REVIEW","OK")</x:f>
        <x:v>OK</x:v>
      </x:c>
    </x:row>
    <x:row r="151" ht="21" customHeight="1">
      <x:c r="A151" s="2"/>
      <x:c r="B151" s="2" t="str">
        <x:v>2089839ec661e30eda10</x:v>
      </x:c>
      <x:c r="C151" s="16" t="d">
        <x:v>2025-02-11T00:00:00.000Z</x:v>
      </x:c>
      <x:c r="D151" s="16" t="d">
        <x:v>2025-02-10T00:00:00.000Z</x:v>
      </x:c>
      <x:c r="E151" s="2" t="str">
        <x:v>OKLO_ORD</x:v>
      </x:c>
      <x:c r="F151" s="2" t="str">
        <x:v>BUY</x:v>
      </x:c>
      <x:c r="G151" s="17" t="n">
        <x:v>1</x:v>
      </x:c>
      <x:c r="H151" s="18" t="n">
        <x:v>-79.21</x:v>
      </x:c>
      <x:c r="I151" s="18" t="str">
        <x:v>CAD</x:v>
      </x:c>
      <x:c r="J151" s="18" t="n">
        <x:v>191.19</x:v>
      </x:c>
      <x:c r="K151" s="2" t="str">
        <x:v>TFSA-monthly-statement-transactions-DEMO_CAD-2025-02-01.csv</x:v>
      </x:c>
      <x:c r="L151" s="2" t="n">
        <x:v>8</x:v>
      </x:c>
      <x:c r="M151" s="2" t="str">
        <x:v>OKLO - Oklo Inc.: Bought 1.0000 shares (executed at 2025-02-10), FX Rate: 1.4601</x:v>
      </x:c>
      <x:c r="N151" s="2" t="str">
        <x:v>Imported</x:v>
      </x:c>
      <x:c r="O151" s="17" t="n">
        <x:f>IF(F151="BUY",G151,IF(F151="SELL",-G151,IF(AND(F151="STKREORG",N151="Applied 4-for-1 CDR split"),G151,0)))</x:f>
        <x:v>1</x:v>
      </x:c>
      <x:c r="P151" s="17" t="n">
        <x:f>SUMIF($E$6:E150,E151,$O$6:O150)</x:f>
        <x:v>0</x:v>
      </x:c>
      <x:c r="Q151" s="18" t="n">
        <x:f>SUMIF($E$6:E150,E151,$S$6:S150)</x:f>
        <x:v>0</x:v>
      </x:c>
      <x:c r="R151" s="18" t="n">
        <x:f>IF(P151&gt;0,Q151/P151,0)</x:f>
        <x:v>0</x:v>
      </x:c>
      <x:c r="S151" s="18" t="n">
        <x:f>IF(F151="BUY",-H151,IF(F151="SELL",-G151*R151,0))</x:f>
        <x:v>79.21</x:v>
      </x:c>
      <x:c r="T151" s="18" t="n">
        <x:f>IF(F151="SELL",IF(G151&gt;P151+0.000001,"REVIEW",H151-G151*R151),0)</x:f>
        <x:v>0</x:v>
      </x:c>
      <x:c r="U151" s="17" t="n">
        <x:f>P151+O151</x:f>
        <x:v>1</x:v>
      </x:c>
      <x:c r="V151" s="18" t="n">
        <x:f>Q151+S151</x:f>
        <x:v>79.21</x:v>
      </x:c>
      <x:c r="W151" s="18" t="n">
        <x:f>IF(F151="DIV",H151,0)</x:f>
        <x:v>0</x:v>
      </x:c>
      <x:c r="X151" s="18" t="n">
        <x:f>IF(F151="CONT",H151,0)</x:f>
        <x:v>0</x:v>
      </x:c>
      <x:c r="Y151" s="2" t="str">
        <x:f>TEXT(C151,"yyyy-mm")</x:f>
        <x:v>2025-02</x:v>
      </x:c>
      <x:c r="Z151" s="2" t="str">
        <x:f>IF(OR(AND(F151="STKREORG",N151&lt;&gt;"Applied 4-for-1 CDR split"),AND(F151="SELL",G151&gt;P151+0.000001)),"REVIEW","OK")</x:f>
        <x:v>OK</x:v>
      </x:c>
    </x:row>
    <x:row r="152" ht="21" customHeight="1">
      <x:c r="A152" s="2"/>
      <x:c r="B152" s="2" t="str">
        <x:v>21c89121f8406d614998</x:v>
      </x:c>
      <x:c r="C152" s="16" t="d">
        <x:v>2025-02-11T00:00:00.000Z</x:v>
      </x:c>
      <x:c r="D152" s="16" t="d">
        <x:v>2025-02-10T00:00:00.000Z</x:v>
      </x:c>
      <x:c r="E152" s="2" t="str">
        <x:v>PLTR_ORD</x:v>
      </x:c>
      <x:c r="F152" s="2" t="str">
        <x:v>BUY</x:v>
      </x:c>
      <x:c r="G152" s="17" t="n">
        <x:v>2</x:v>
      </x:c>
      <x:c r="H152" s="18" t="n">
        <x:v>-72.58</x:v>
      </x:c>
      <x:c r="I152" s="18" t="str">
        <x:v>CAD</x:v>
      </x:c>
      <x:c r="J152" s="18" t="n">
        <x:v>118.61</x:v>
      </x:c>
      <x:c r="K152" s="2" t="str">
        <x:v>TFSA-monthly-statement-transactions-DEMO_CAD-2025-02-01.csv</x:v>
      </x:c>
      <x:c r="L152" s="2" t="n">
        <x:v>9</x:v>
      </x:c>
      <x:c r="M152" s="2" t="str">
        <x:v>PLTR - Palantir Technologies Inc.: Bought 2.0000 shares (executed at 2025-02-10)</x:v>
      </x:c>
      <x:c r="N152" s="2" t="str">
        <x:v>Imported</x:v>
      </x:c>
      <x:c r="O152" s="17" t="n">
        <x:f>IF(F152="BUY",G152,IF(F152="SELL",-G152,IF(AND(F152="STKREORG",N152="Applied 4-for-1 CDR split"),G152,0)))</x:f>
        <x:v>2</x:v>
      </x:c>
      <x:c r="P152" s="17" t="n">
        <x:f>SUMIF($E$6:E151,E152,$O$6:O151)</x:f>
        <x:v>0</x:v>
      </x:c>
      <x:c r="Q152" s="18" t="n">
        <x:f>SUMIF($E$6:E151,E152,$S$6:S151)</x:f>
        <x:v>0</x:v>
      </x:c>
      <x:c r="R152" s="18" t="n">
        <x:f>IF(P152&gt;0,Q152/P152,0)</x:f>
        <x:v>0</x:v>
      </x:c>
      <x:c r="S152" s="18" t="n">
        <x:f>IF(F152="BUY",-H152,IF(F152="SELL",-G152*R152,0))</x:f>
        <x:v>72.58</x:v>
      </x:c>
      <x:c r="T152" s="18" t="n">
        <x:f>IF(F152="SELL",IF(G152&gt;P152+0.000001,"REVIEW",H152-G152*R152),0)</x:f>
        <x:v>0</x:v>
      </x:c>
      <x:c r="U152" s="17" t="n">
        <x:f>P152+O152</x:f>
        <x:v>2</x:v>
      </x:c>
      <x:c r="V152" s="18" t="n">
        <x:f>Q152+S152</x:f>
        <x:v>72.58</x:v>
      </x:c>
      <x:c r="W152" s="18" t="n">
        <x:f>IF(F152="DIV",H152,0)</x:f>
        <x:v>0</x:v>
      </x:c>
      <x:c r="X152" s="18" t="n">
        <x:f>IF(F152="CONT",H152,0)</x:f>
        <x:v>0</x:v>
      </x:c>
      <x:c r="Y152" s="2" t="str">
        <x:f>TEXT(C152,"yyyy-mm")</x:f>
        <x:v>2025-02</x:v>
      </x:c>
      <x:c r="Z152" s="2" t="str">
        <x:f>IF(OR(AND(F152="STKREORG",N152&lt;&gt;"Applied 4-for-1 CDR split"),AND(F152="SELL",G152&gt;P152+0.000001)),"REVIEW","OK")</x:f>
        <x:v>OK</x:v>
      </x:c>
    </x:row>
    <x:row r="153" ht="21" customHeight="1">
      <x:c r="A153" s="2"/>
      <x:c r="B153" s="2" t="str">
        <x:v>75f16094ae7f1a655324</x:v>
      </x:c>
      <x:c r="C153" s="16" t="d">
        <x:v>2025-02-14T00:00:00.000Z</x:v>
      </x:c>
      <x:c r="D153" s="16" t="d">
        <x:v>2025-02-14T00:00:00.000Z</x:v>
      </x:c>
      <x:c r="E153" s="2" t="str"/>
      <x:c r="F153" s="2" t="str">
        <x:v>CONT</x:v>
      </x:c>
      <x:c r="G153" s="17" t="n">
        <x:v>0</x:v>
      </x:c>
      <x:c r="H153" s="18" t="n">
        <x:v>1000</x:v>
      </x:c>
      <x:c r="I153" s="18" t="str">
        <x:v>CAD</x:v>
      </x:c>
      <x:c r="J153" s="18" t="n">
        <x:v>1118.61</x:v>
      </x:c>
      <x:c r="K153" s="2" t="str">
        <x:v>TFSA-monthly-statement-transactions-DEMO_CAD-2025-02-01.csv</x:v>
      </x:c>
      <x:c r="L153" s="2" t="n">
        <x:v>10</x:v>
      </x:c>
      <x:c r="M153" s="2" t="str">
        <x:v>Contribution (executed at 2025-02-14)</x:v>
      </x:c>
      <x:c r="N153" s="2" t="str">
        <x:v>Imported</x:v>
      </x:c>
      <x:c r="O153" s="17" t="n">
        <x:f>IF(F153="BUY",G153,IF(F153="SELL",-G153,IF(AND(F153="STKREORG",N153="Applied 4-for-1 CDR split"),G153,0)))</x:f>
        <x:v>0</x:v>
      </x:c>
      <x:c r="P153" s="17" t="n">
        <x:f>SUMIF($E$6:E152,E153,$O$6:O152)</x:f>
        <x:v>0</x:v>
      </x:c>
      <x:c r="Q153" s="18" t="n">
        <x:f>SUMIF($E$6:E152,E153,$S$6:S152)</x:f>
        <x:v>0</x:v>
      </x:c>
      <x:c r="R153" s="18" t="n">
        <x:f>IF(P153&gt;0,Q153/P153,0)</x:f>
        <x:v>0</x:v>
      </x:c>
      <x:c r="S153" s="18" t="n">
        <x:f>IF(F153="BUY",-H153,IF(F153="SELL",-G153*R153,0))</x:f>
        <x:v>0</x:v>
      </x:c>
      <x:c r="T153" s="18" t="n">
        <x:f>IF(F153="SELL",IF(G153&gt;P153+0.000001,"REVIEW",H153-G153*R153),0)</x:f>
        <x:v>0</x:v>
      </x:c>
      <x:c r="U153" s="17" t="n">
        <x:f>P153+O153</x:f>
        <x:v>0</x:v>
      </x:c>
      <x:c r="V153" s="18" t="n">
        <x:f>Q153+S153</x:f>
        <x:v>0</x:v>
      </x:c>
      <x:c r="W153" s="18" t="n">
        <x:f>IF(F153="DIV",H153,0)</x:f>
        <x:v>0</x:v>
      </x:c>
      <x:c r="X153" s="18" t="n">
        <x:f>IF(F153="CONT",H153,0)</x:f>
        <x:v>1000</x:v>
      </x:c>
      <x:c r="Y153" s="2" t="str">
        <x:f>TEXT(C153,"yyyy-mm")</x:f>
        <x:v>2025-02</x:v>
      </x:c>
      <x:c r="Z153" s="2" t="str">
        <x:f>IF(OR(AND(F153="STKREORG",N153&lt;&gt;"Applied 4-for-1 CDR split"),AND(F153="SELL",G153&gt;P153+0.000001)),"REVIEW","OK")</x:f>
        <x:v>OK</x:v>
      </x:c>
    </x:row>
    <x:row r="154" ht="21" customHeight="1">
      <x:c r="A154" s="2"/>
      <x:c r="B154" s="2" t="str">
        <x:v>fceda0b4e8080a30404d</x:v>
      </x:c>
      <x:c r="C154" s="16" t="d">
        <x:v>2025-02-18T00:00:00.000Z</x:v>
      </x:c>
      <x:c r="D154" s="16" t="d">
        <x:v>2025-02-14T00:00:00.000Z</x:v>
      </x:c>
      <x:c r="E154" s="2" t="str">
        <x:v>ENB_ORD</x:v>
      </x:c>
      <x:c r="F154" s="2" t="str">
        <x:v>BUY</x:v>
      </x:c>
      <x:c r="G154" s="17" t="n">
        <x:v>1</x:v>
      </x:c>
      <x:c r="H154" s="18" t="n">
        <x:v>-61.21</x:v>
      </x:c>
      <x:c r="I154" s="18" t="str">
        <x:v>CAD</x:v>
      </x:c>
      <x:c r="J154" s="18" t="n">
        <x:v>1057.4</x:v>
      </x:c>
      <x:c r="K154" s="2" t="str">
        <x:v>TFSA-monthly-statement-transactions-DEMO_CAD-2025-02-01.csv</x:v>
      </x:c>
      <x:c r="L154" s="2" t="n">
        <x:v>11</x:v>
      </x:c>
      <x:c r="M154" s="2" t="str">
        <x:v>ENB - Enbridge Inc: Bought 1.0000 shares (executed at 2025-02-14)</x:v>
      </x:c>
      <x:c r="N154" s="2" t="str">
        <x:v>Imported</x:v>
      </x:c>
      <x:c r="O154" s="17" t="n">
        <x:f>IF(F154="BUY",G154,IF(F154="SELL",-G154,IF(AND(F154="STKREORG",N154="Applied 4-for-1 CDR split"),G154,0)))</x:f>
        <x:v>1</x:v>
      </x:c>
      <x:c r="P154" s="17" t="n">
        <x:f>SUMIF($E$6:E153,E154,$O$6:O153)</x:f>
        <x:v>0</x:v>
      </x:c>
      <x:c r="Q154" s="18" t="n">
        <x:f>SUMIF($E$6:E153,E154,$S$6:S153)</x:f>
        <x:v>0</x:v>
      </x:c>
      <x:c r="R154" s="18" t="n">
        <x:f>IF(P154&gt;0,Q154/P154,0)</x:f>
        <x:v>0</x:v>
      </x:c>
      <x:c r="S154" s="18" t="n">
        <x:f>IF(F154="BUY",-H154,IF(F154="SELL",-G154*R154,0))</x:f>
        <x:v>61.21</x:v>
      </x:c>
      <x:c r="T154" s="18" t="n">
        <x:f>IF(F154="SELL",IF(G154&gt;P154+0.000001,"REVIEW",H154-G154*R154),0)</x:f>
        <x:v>0</x:v>
      </x:c>
      <x:c r="U154" s="17" t="n">
        <x:f>P154+O154</x:f>
        <x:v>1</x:v>
      </x:c>
      <x:c r="V154" s="18" t="n">
        <x:f>Q154+S154</x:f>
        <x:v>61.21</x:v>
      </x:c>
      <x:c r="W154" s="18" t="n">
        <x:f>IF(F154="DIV",H154,0)</x:f>
        <x:v>0</x:v>
      </x:c>
      <x:c r="X154" s="18" t="n">
        <x:f>IF(F154="CONT",H154,0)</x:f>
        <x:v>0</x:v>
      </x:c>
      <x:c r="Y154" s="2" t="str">
        <x:f>TEXT(C154,"yyyy-mm")</x:f>
        <x:v>2025-02</x:v>
      </x:c>
      <x:c r="Z154" s="2" t="str">
        <x:f>IF(OR(AND(F154="STKREORG",N154&lt;&gt;"Applied 4-for-1 CDR split"),AND(F154="SELL",G154&gt;P154+0.000001)),"REVIEW","OK")</x:f>
        <x:v>OK</x:v>
      </x:c>
    </x:row>
    <x:row r="155" ht="21" customHeight="1">
      <x:c r="A155" s="2"/>
      <x:c r="B155" s="2" t="str">
        <x:v>220a12e5c121b258d7d5</x:v>
      </x:c>
      <x:c r="C155" s="16" t="d">
        <x:v>2025-02-18T00:00:00.000Z</x:v>
      </x:c>
      <x:c r="D155" s="16" t="d">
        <x:v>2025-02-14T00:00:00.000Z</x:v>
      </x:c>
      <x:c r="E155" s="2" t="str">
        <x:v>VFV_ORD</x:v>
      </x:c>
      <x:c r="F155" s="2" t="str">
        <x:v>BUY</x:v>
      </x:c>
      <x:c r="G155" s="17" t="n">
        <x:v>2</x:v>
      </x:c>
      <x:c r="H155" s="18" t="n">
        <x:v>-307.66</x:v>
      </x:c>
      <x:c r="I155" s="18" t="str">
        <x:v>CAD</x:v>
      </x:c>
      <x:c r="J155" s="18" t="n">
        <x:v>749.74</x:v>
      </x:c>
      <x:c r="K155" s="2" t="str">
        <x:v>TFSA-monthly-statement-transactions-DEMO_CAD-2025-02-01.csv</x:v>
      </x:c>
      <x:c r="L155" s="2" t="n">
        <x:v>12</x:v>
      </x:c>
      <x:c r="M155" s="2" t="str">
        <x:v>VFV - Vanguard S&amp;P 500 Index ETF: Bought 2.0000 shares (executed at 2025-02-14)</x:v>
      </x:c>
      <x:c r="N155" s="2" t="str">
        <x:v>Imported</x:v>
      </x:c>
      <x:c r="O155" s="17" t="n">
        <x:f>IF(F155="BUY",G155,IF(F155="SELL",-G155,IF(AND(F155="STKREORG",N155="Applied 4-for-1 CDR split"),G155,0)))</x:f>
        <x:v>2</x:v>
      </x:c>
      <x:c r="P155" s="17" t="n">
        <x:f>SUMIF($E$6:E154,E155,$O$6:O154)</x:f>
        <x:v>50.031</x:v>
      </x:c>
      <x:c r="Q155" s="18" t="n">
        <x:f>SUMIF($E$6:E154,E155,$S$6:S154)</x:f>
        <x:v>7312.35</x:v>
      </x:c>
      <x:c r="R155" s="18" t="n">
        <x:f>IF(P155&gt;0,Q155/P155,0)</x:f>
        <x:v>146.15638304251365</x:v>
      </x:c>
      <x:c r="S155" s="18" t="n">
        <x:f>IF(F155="BUY",-H155,IF(F155="SELL",-G155*R155,0))</x:f>
        <x:v>307.66</x:v>
      </x:c>
      <x:c r="T155" s="18" t="n">
        <x:f>IF(F155="SELL",IF(G155&gt;P155+0.000001,"REVIEW",H155-G155*R155),0)</x:f>
        <x:v>0</x:v>
      </x:c>
      <x:c r="U155" s="17" t="n">
        <x:f>P155+O155</x:f>
        <x:v>52.031</x:v>
      </x:c>
      <x:c r="V155" s="18" t="n">
        <x:f>Q155+S155</x:f>
        <x:v>7620.01</x:v>
      </x:c>
      <x:c r="W155" s="18" t="n">
        <x:f>IF(F155="DIV",H155,0)</x:f>
        <x:v>0</x:v>
      </x:c>
      <x:c r="X155" s="18" t="n">
        <x:f>IF(F155="CONT",H155,0)</x:f>
        <x:v>0</x:v>
      </x:c>
      <x:c r="Y155" s="2" t="str">
        <x:f>TEXT(C155,"yyyy-mm")</x:f>
        <x:v>2025-02</x:v>
      </x:c>
      <x:c r="Z155" s="2" t="str">
        <x:f>IF(OR(AND(F155="STKREORG",N155&lt;&gt;"Applied 4-for-1 CDR split"),AND(F155="SELL",G155&gt;P155+0.000001)),"REVIEW","OK")</x:f>
        <x:v>OK</x:v>
      </x:c>
    </x:row>
    <x:row r="156" ht="21" customHeight="1">
      <x:c r="A156" s="2"/>
      <x:c r="B156" s="2" t="str">
        <x:v>a183310a2414eb50de2d</x:v>
      </x:c>
      <x:c r="C156" s="16" t="d">
        <x:v>2025-02-18T00:00:00.000Z</x:v>
      </x:c>
      <x:c r="D156" s="16" t="d">
        <x:v>2025-02-14T00:00:00.000Z</x:v>
      </x:c>
      <x:c r="E156" s="2" t="str">
        <x:v>XEQT_ORD</x:v>
      </x:c>
      <x:c r="F156" s="2" t="str">
        <x:v>BUY</x:v>
      </x:c>
      <x:c r="G156" s="17" t="n">
        <x:v>4</x:v>
      </x:c>
      <x:c r="H156" s="18" t="n">
        <x:v>-139.92</x:v>
      </x:c>
      <x:c r="I156" s="18" t="str">
        <x:v>CAD</x:v>
      </x:c>
      <x:c r="J156" s="18" t="n">
        <x:v>609.82</x:v>
      </x:c>
      <x:c r="K156" s="2" t="str">
        <x:v>TFSA-monthly-statement-transactions-DEMO_CAD-2025-02-01.csv</x:v>
      </x:c>
      <x:c r="L156" s="2" t="n">
        <x:v>13</x:v>
      </x:c>
      <x:c r="M156" s="2" t="str">
        <x:v>XEQT - iShares Core Equity ETF Portfolio: Bought 4.0000 shares (executed at 2025-02-14)</x:v>
      </x:c>
      <x:c r="N156" s="2" t="str">
        <x:v>Imported</x:v>
      </x:c>
      <x:c r="O156" s="17" t="n">
        <x:f>IF(F156="BUY",G156,IF(F156="SELL",-G156,IF(AND(F156="STKREORG",N156="Applied 4-for-1 CDR split"),G156,0)))</x:f>
        <x:v>4</x:v>
      </x:c>
      <x:c r="P156" s="17" t="n">
        <x:f>SUMIF($E$6:E155,E156,$O$6:O155)</x:f>
        <x:v>164.6174</x:v>
      </x:c>
      <x:c r="Q156" s="18" t="n">
        <x:f>SUMIF($E$6:E155,E156,$S$6:S155)</x:f>
        <x:v>5309.87</x:v>
      </x:c>
      <x:c r="R156" s="18" t="n">
        <x:f>IF(P156&gt;0,Q156/P156,0)</x:f>
        <x:v>32.25582471840765</x:v>
      </x:c>
      <x:c r="S156" s="18" t="n">
        <x:f>IF(F156="BUY",-H156,IF(F156="SELL",-G156*R156,0))</x:f>
        <x:v>139.92</x:v>
      </x:c>
      <x:c r="T156" s="18" t="n">
        <x:f>IF(F156="SELL",IF(G156&gt;P156+0.000001,"REVIEW",H156-G156*R156),0)</x:f>
        <x:v>0</x:v>
      </x:c>
      <x:c r="U156" s="17" t="n">
        <x:f>P156+O156</x:f>
        <x:v>168.6174</x:v>
      </x:c>
      <x:c r="V156" s="18" t="n">
        <x:f>Q156+S156</x:f>
        <x:v>5449.79</x:v>
      </x:c>
      <x:c r="W156" s="18" t="n">
        <x:f>IF(F156="DIV",H156,0)</x:f>
        <x:v>0</x:v>
      </x:c>
      <x:c r="X156" s="18" t="n">
        <x:f>IF(F156="CONT",H156,0)</x:f>
        <x:v>0</x:v>
      </x:c>
      <x:c r="Y156" s="2" t="str">
        <x:f>TEXT(C156,"yyyy-mm")</x:f>
        <x:v>2025-02</x:v>
      </x:c>
      <x:c r="Z156" s="2" t="str">
        <x:f>IF(OR(AND(F156="STKREORG",N156&lt;&gt;"Applied 4-for-1 CDR split"),AND(F156="SELL",G156&gt;P156+0.000001)),"REVIEW","OK")</x:f>
        <x:v>OK</x:v>
      </x:c>
    </x:row>
    <x:row r="157" ht="21" customHeight="1">
      <x:c r="A157" s="2"/>
      <x:c r="B157" s="2" t="str">
        <x:v>b1e450b0f46365766b1f</x:v>
      </x:c>
      <x:c r="C157" s="16" t="d">
        <x:v>2025-02-18T00:00:00.000Z</x:v>
      </x:c>
      <x:c r="D157" s="16" t="d">
        <x:v>2025-02-14T00:00:00.000Z</x:v>
      </x:c>
      <x:c r="E157" s="2" t="str">
        <x:v>FINN_ORD</x:v>
      </x:c>
      <x:c r="F157" s="2" t="str">
        <x:v>BUY</x:v>
      </x:c>
      <x:c r="G157" s="17" t="n">
        <x:v>5</x:v>
      </x:c>
      <x:c r="H157" s="18" t="n">
        <x:v>-102.25</x:v>
      </x:c>
      <x:c r="I157" s="18" t="str">
        <x:v>CAD</x:v>
      </x:c>
      <x:c r="J157" s="18" t="n">
        <x:v>507.57</x:v>
      </x:c>
      <x:c r="K157" s="2" t="str">
        <x:v>TFSA-monthly-statement-transactions-DEMO_CAD-2025-02-01.csv</x:v>
      </x:c>
      <x:c r="L157" s="2" t="n">
        <x:v>14</x:v>
      </x:c>
      <x:c r="M157" s="2" t="str">
        <x:v>FINN - Fidelity Global Innovators ETF - Series L: Bought 5.0000 shares (executed at 2025-02-14)</x:v>
      </x:c>
      <x:c r="N157" s="2" t="str">
        <x:v>Imported</x:v>
      </x:c>
      <x:c r="O157" s="17" t="n">
        <x:f>IF(F157="BUY",G157,IF(F157="SELL",-G157,IF(AND(F157="STKREORG",N157="Applied 4-for-1 CDR split"),G157,0)))</x:f>
        <x:v>5</x:v>
      </x:c>
      <x:c r="P157" s="17" t="n">
        <x:f>SUMIF($E$6:E156,E157,$O$6:O156)</x:f>
        <x:v>51</x:v>
      </x:c>
      <x:c r="Q157" s="18" t="n">
        <x:f>SUMIF($E$6:E156,E157,$S$6:S156)</x:f>
        <x:v>1000.8900000000001</x:v>
      </x:c>
      <x:c r="R157" s="18" t="n">
        <x:f>IF(P157&gt;0,Q157/P157,0)</x:f>
        <x:v>19.625294117647062</x:v>
      </x:c>
      <x:c r="S157" s="18" t="n">
        <x:f>IF(F157="BUY",-H157,IF(F157="SELL",-G157*R157,0))</x:f>
        <x:v>102.25</x:v>
      </x:c>
      <x:c r="T157" s="18" t="n">
        <x:f>IF(F157="SELL",IF(G157&gt;P157+0.000001,"REVIEW",H157-G157*R157),0)</x:f>
        <x:v>0</x:v>
      </x:c>
      <x:c r="U157" s="17" t="n">
        <x:f>P157+O157</x:f>
        <x:v>56</x:v>
      </x:c>
      <x:c r="V157" s="18" t="n">
        <x:f>Q157+S157</x:f>
        <x:v>1103.14</x:v>
      </x:c>
      <x:c r="W157" s="18" t="n">
        <x:f>IF(F157="DIV",H157,0)</x:f>
        <x:v>0</x:v>
      </x:c>
      <x:c r="X157" s="18" t="n">
        <x:f>IF(F157="CONT",H157,0)</x:f>
        <x:v>0</x:v>
      </x:c>
      <x:c r="Y157" s="2" t="str">
        <x:f>TEXT(C157,"yyyy-mm")</x:f>
        <x:v>2025-02</x:v>
      </x:c>
      <x:c r="Z157" s="2" t="str">
        <x:f>IF(OR(AND(F157="STKREORG",N157&lt;&gt;"Applied 4-for-1 CDR split"),AND(F157="SELL",G157&gt;P157+0.000001)),"REVIEW","OK")</x:f>
        <x:v>OK</x:v>
      </x:c>
    </x:row>
    <x:row r="158" ht="21" customHeight="1">
      <x:c r="A158" s="2"/>
      <x:c r="B158" s="2" t="str">
        <x:v>23688fd3ffd8a309ea31</x:v>
      </x:c>
      <x:c r="C158" s="16" t="d">
        <x:v>2025-02-18T00:00:00.000Z</x:v>
      </x:c>
      <x:c r="D158" s="16" t="d">
        <x:v>2025-02-14T00:00:00.000Z</x:v>
      </x:c>
      <x:c r="E158" s="2" t="str">
        <x:v>ENB_ORD</x:v>
      </x:c>
      <x:c r="F158" s="2" t="str">
        <x:v>BUY</x:v>
      </x:c>
      <x:c r="G158" s="17" t="n">
        <x:v>3</x:v>
      </x:c>
      <x:c r="H158" s="18" t="n">
        <x:v>-184.05</x:v>
      </x:c>
      <x:c r="I158" s="18" t="str">
        <x:v>CAD</x:v>
      </x:c>
      <x:c r="J158" s="18" t="n">
        <x:v>323.52</x:v>
      </x:c>
      <x:c r="K158" s="2" t="str">
        <x:v>TFSA-monthly-statement-transactions-DEMO_CAD-2025-02-01.csv</x:v>
      </x:c>
      <x:c r="L158" s="2" t="n">
        <x:v>15</x:v>
      </x:c>
      <x:c r="M158" s="2" t="str">
        <x:v>ENB - Enbridge Inc: Bought 3.0000 shares (executed at 2025-02-14)</x:v>
      </x:c>
      <x:c r="N158" s="2" t="str">
        <x:v>Imported</x:v>
      </x:c>
      <x:c r="O158" s="17" t="n">
        <x:f>IF(F158="BUY",G158,IF(F158="SELL",-G158,IF(AND(F158="STKREORG",N158="Applied 4-for-1 CDR split"),G158,0)))</x:f>
        <x:v>3</x:v>
      </x:c>
      <x:c r="P158" s="17" t="n">
        <x:f>SUMIF($E$6:E157,E158,$O$6:O157)</x:f>
        <x:v>1</x:v>
      </x:c>
      <x:c r="Q158" s="18" t="n">
        <x:f>SUMIF($E$6:E157,E158,$S$6:S157)</x:f>
        <x:v>61.21</x:v>
      </x:c>
      <x:c r="R158" s="18" t="n">
        <x:f>IF(P158&gt;0,Q158/P158,0)</x:f>
        <x:v>61.21</x:v>
      </x:c>
      <x:c r="S158" s="18" t="n">
        <x:f>IF(F158="BUY",-H158,IF(F158="SELL",-G158*R158,0))</x:f>
        <x:v>184.05</x:v>
      </x:c>
      <x:c r="T158" s="18" t="n">
        <x:f>IF(F158="SELL",IF(G158&gt;P158+0.000001,"REVIEW",H158-G158*R158),0)</x:f>
        <x:v>0</x:v>
      </x:c>
      <x:c r="U158" s="17" t="n">
        <x:f>P158+O158</x:f>
        <x:v>4</x:v>
      </x:c>
      <x:c r="V158" s="18" t="n">
        <x:f>Q158+S158</x:f>
        <x:v>245.26000000000002</x:v>
      </x:c>
      <x:c r="W158" s="18" t="n">
        <x:f>IF(F158="DIV",H158,0)</x:f>
        <x:v>0</x:v>
      </x:c>
      <x:c r="X158" s="18" t="n">
        <x:f>IF(F158="CONT",H158,0)</x:f>
        <x:v>0</x:v>
      </x:c>
      <x:c r="Y158" s="2" t="str">
        <x:f>TEXT(C158,"yyyy-mm")</x:f>
        <x:v>2025-02</x:v>
      </x:c>
      <x:c r="Z158" s="2" t="str">
        <x:f>IF(OR(AND(F158="STKREORG",N158&lt;&gt;"Applied 4-for-1 CDR split"),AND(F158="SELL",G158&gt;P158+0.000001)),"REVIEW","OK")</x:f>
        <x:v>OK</x:v>
      </x:c>
    </x:row>
    <x:row r="159" ht="21" customHeight="1">
      <x:c r="A159" s="2"/>
      <x:c r="B159" s="2" t="str">
        <x:v>dec5f8e384965f1ebd54</x:v>
      </x:c>
      <x:c r="C159" s="16" t="d">
        <x:v>2025-02-20T00:00:00.000Z</x:v>
      </x:c>
      <x:c r="D159" s="16" t="d">
        <x:v>2025-02-19T00:00:00.000Z</x:v>
      </x:c>
      <x:c r="E159" s="2" t="str">
        <x:v>AAPL_CDR</x:v>
      </x:c>
      <x:c r="F159" s="2" t="str">
        <x:v>BUY</x:v>
      </x:c>
      <x:c r="G159" s="17" t="n">
        <x:v>8</x:v>
      </x:c>
      <x:c r="H159" s="18" t="n">
        <x:v>-285.68</x:v>
      </x:c>
      <x:c r="I159" s="18" t="str">
        <x:v>CAD</x:v>
      </x:c>
      <x:c r="J159" s="18" t="n">
        <x:v>37.84</x:v>
      </x:c>
      <x:c r="K159" s="2" t="str">
        <x:v>TFSA-monthly-statement-transactions-DEMO_CAD-2025-02-01.csv</x:v>
      </x:c>
      <x:c r="L159" s="2" t="n">
        <x:v>16</x:v>
      </x:c>
      <x:c r="M159" s="2" t="str">
        <x:v>AAPL - Apple CDR (CAD Hedged) : Bought 8.0000 shares (executed at 2025-02-19)</x:v>
      </x:c>
      <x:c r="N159" s="2" t="str">
        <x:v>Imported</x:v>
      </x:c>
      <x:c r="O159" s="17" t="n">
        <x:f>IF(F159="BUY",G159,IF(F159="SELL",-G159,IF(AND(F159="STKREORG",N159="Applied 4-for-1 CDR split"),G159,0)))</x:f>
        <x:v>8</x:v>
      </x:c>
      <x:c r="P159" s="17" t="n">
        <x:f>SUMIF($E$6:E158,E159,$O$6:O158)</x:f>
        <x:v>10</x:v>
      </x:c>
      <x:c r="Q159" s="18" t="n">
        <x:f>SUMIF($E$6:E158,E159,$S$6:S158)</x:f>
        <x:v>322.5</x:v>
      </x:c>
      <x:c r="R159" s="18" t="n">
        <x:f>IF(P159&gt;0,Q159/P159,0)</x:f>
        <x:v>32.25</x:v>
      </x:c>
      <x:c r="S159" s="18" t="n">
        <x:f>IF(F159="BUY",-H159,IF(F159="SELL",-G159*R159,0))</x:f>
        <x:v>285.68</x:v>
      </x:c>
      <x:c r="T159" s="18" t="n">
        <x:f>IF(F159="SELL",IF(G159&gt;P159+0.000001,"REVIEW",H159-G159*R159),0)</x:f>
        <x:v>0</x:v>
      </x:c>
      <x:c r="U159" s="17" t="n">
        <x:f>P159+O159</x:f>
        <x:v>18</x:v>
      </x:c>
      <x:c r="V159" s="18" t="n">
        <x:f>Q159+S159</x:f>
        <x:v>608.1800000000001</x:v>
      </x:c>
      <x:c r="W159" s="18" t="n">
        <x:f>IF(F159="DIV",H159,0)</x:f>
        <x:v>0</x:v>
      </x:c>
      <x:c r="X159" s="18" t="n">
        <x:f>IF(F159="CONT",H159,0)</x:f>
        <x:v>0</x:v>
      </x:c>
      <x:c r="Y159" s="2" t="str">
        <x:f>TEXT(C159,"yyyy-mm")</x:f>
        <x:v>2025-02</x:v>
      </x:c>
      <x:c r="Z159" s="2" t="str">
        <x:f>IF(OR(AND(F159="STKREORG",N159&lt;&gt;"Applied 4-for-1 CDR split"),AND(F159="SELL",G159&gt;P159+0.000001)),"REVIEW","OK")</x:f>
        <x:v>OK</x:v>
      </x:c>
    </x:row>
    <x:row r="160" ht="21" customHeight="1">
      <x:c r="A160" s="2"/>
      <x:c r="B160" s="2" t="str">
        <x:v>e8d44aa7725f68d2c0a8</x:v>
      </x:c>
      <x:c r="C160" s="16" t="d">
        <x:v>2025-02-21T00:00:00.000Z</x:v>
      </x:c>
      <x:c r="D160" s="16" t="d">
        <x:v>2025-02-21T00:00:00.000Z</x:v>
      </x:c>
      <x:c r="E160" s="2" t="str">
        <x:v>AAPL_CDR</x:v>
      </x:c>
      <x:c r="F160" s="2" t="str">
        <x:v>DIV</x:v>
      </x:c>
      <x:c r="G160" s="17" t="n">
        <x:v>0</x:v>
      </x:c>
      <x:c r="H160" s="18" t="n">
        <x:v>0.36</x:v>
      </x:c>
      <x:c r="I160" s="18" t="str">
        <x:v>CAD</x:v>
      </x:c>
      <x:c r="J160" s="18" t="n">
        <x:v>38.15</x:v>
      </x:c>
      <x:c r="K160" s="2" t="str">
        <x:v>TFSA-monthly-statement-transactions-DEMO_CAD-2025-02-01.csv</x:v>
      </x:c>
      <x:c r="L160" s="2" t="n">
        <x:v>17</x:v>
      </x:c>
      <x:c r="M160" s="2" t="str">
        <x:v>AAPL - Apple CDR (CAD Hedged) : Cash dividend distribution, received on 2025-02-21, record date of 2025-02-10</x:v>
      </x:c>
      <x:c r="N160" s="2" t="str">
        <x:v>Imported</x:v>
      </x:c>
      <x:c r="O160" s="17" t="n">
        <x:f>IF(F160="BUY",G160,IF(F160="SELL",-G160,IF(AND(F160="STKREORG",N160="Applied 4-for-1 CDR split"),G160,0)))</x:f>
        <x:v>0</x:v>
      </x:c>
      <x:c r="P160" s="17" t="n">
        <x:f>SUMIF($E$6:E159,E160,$O$6:O159)</x:f>
        <x:v>18</x:v>
      </x:c>
      <x:c r="Q160" s="18" t="n">
        <x:f>SUMIF($E$6:E159,E160,$S$6:S159)</x:f>
        <x:v>608.1800000000001</x:v>
      </x:c>
      <x:c r="R160" s="18" t="n">
        <x:f>IF(P160&gt;0,Q160/P160,0)</x:f>
        <x:v>33.787777777777784</x:v>
      </x:c>
      <x:c r="S160" s="18" t="n">
        <x:f>IF(F160="BUY",-H160,IF(F160="SELL",-G160*R160,0))</x:f>
        <x:v>0</x:v>
      </x:c>
      <x:c r="T160" s="18" t="n">
        <x:f>IF(F160="SELL",IF(G160&gt;P160+0.000001,"REVIEW",H160-G160*R160),0)</x:f>
        <x:v>0</x:v>
      </x:c>
      <x:c r="U160" s="17" t="n">
        <x:f>P160+O160</x:f>
        <x:v>18</x:v>
      </x:c>
      <x:c r="V160" s="18" t="n">
        <x:f>Q160+S160</x:f>
        <x:v>608.1800000000001</x:v>
      </x:c>
      <x:c r="W160" s="18" t="n">
        <x:f>IF(F160="DIV",H160,0)</x:f>
        <x:v>0.36</x:v>
      </x:c>
      <x:c r="X160" s="18" t="n">
        <x:f>IF(F160="CONT",H160,0)</x:f>
        <x:v>0</x:v>
      </x:c>
      <x:c r="Y160" s="2" t="str">
        <x:f>TEXT(C160,"yyyy-mm")</x:f>
        <x:v>2025-02</x:v>
      </x:c>
      <x:c r="Z160" s="2" t="str">
        <x:f>IF(OR(AND(F160="STKREORG",N160&lt;&gt;"Applied 4-for-1 CDR split"),AND(F160="SELL",G160&gt;P160+0.000001)),"REVIEW","OK")</x:f>
        <x:v>OK</x:v>
      </x:c>
    </x:row>
    <x:row r="161" ht="21" customHeight="1">
      <x:c r="A161" s="2"/>
      <x:c r="B161" s="2" t="str">
        <x:v>2a70ed2b51109fc1dc82</x:v>
      </x:c>
      <x:c r="C161" s="16" t="d">
        <x:v>2025-02-21T00:00:00.000Z</x:v>
      </x:c>
      <x:c r="D161" s="16" t="d">
        <x:v>2025-02-21T00:00:00.000Z</x:v>
      </x:c>
      <x:c r="E161" s="2" t="str"/>
      <x:c r="F161" s="2" t="str">
        <x:v>NRT</x:v>
      </x:c>
      <x:c r="G161" s="17" t="n">
        <x:v>0</x:v>
      </x:c>
      <x:c r="H161" s="18" t="n">
        <x:v>-0.05</x:v>
      </x:c>
      <x:c r="I161" s="18" t="str">
        <x:v>CAD</x:v>
      </x:c>
      <x:c r="J161" s="18" t="n">
        <x:v>38.15</x:v>
      </x:c>
      <x:c r="K161" s="2" t="str">
        <x:v>TFSA-monthly-statement-transactions-DEMO_CAD-2025-02-01.csv</x:v>
      </x:c>
      <x:c r="L161" s="2" t="n">
        <x:v>18</x:v>
      </x:c>
      <x:c r="M161" s="2" t="str">
        <x:v>Non-resident tax (executed at 2025-02-21)</x:v>
      </x:c>
      <x:c r="N161" s="2" t="str">
        <x:v>Imported</x:v>
      </x:c>
      <x:c r="O161" s="17" t="n">
        <x:f>IF(F161="BUY",G161,IF(F161="SELL",-G161,IF(AND(F161="STKREORG",N161="Applied 4-for-1 CDR split"),G161,0)))</x:f>
        <x:v>0</x:v>
      </x:c>
      <x:c r="P161" s="17" t="n">
        <x:f>SUMIF($E$6:E160,E161,$O$6:O160)</x:f>
        <x:v>0</x:v>
      </x:c>
      <x:c r="Q161" s="18" t="n">
        <x:f>SUMIF($E$6:E160,E161,$S$6:S160)</x:f>
        <x:v>0</x:v>
      </x:c>
      <x:c r="R161" s="18" t="n">
        <x:f>IF(P161&gt;0,Q161/P161,0)</x:f>
        <x:v>0</x:v>
      </x:c>
      <x:c r="S161" s="18" t="n">
        <x:f>IF(F161="BUY",-H161,IF(F161="SELL",-G161*R161,0))</x:f>
        <x:v>0</x:v>
      </x:c>
      <x:c r="T161" s="18" t="n">
        <x:f>IF(F161="SELL",IF(G161&gt;P161+0.000001,"REVIEW",H161-G161*R161),0)</x:f>
        <x:v>0</x:v>
      </x:c>
      <x:c r="U161" s="17" t="n">
        <x:f>P161+O161</x:f>
        <x:v>0</x:v>
      </x:c>
      <x:c r="V161" s="18" t="n">
        <x:f>Q161+S161</x:f>
        <x:v>0</x:v>
      </x:c>
      <x:c r="W161" s="18" t="n">
        <x:f>IF(F161="DIV",H161,0)</x:f>
        <x:v>0</x:v>
      </x:c>
      <x:c r="X161" s="18" t="n">
        <x:f>IF(F161="CONT",H161,0)</x:f>
        <x:v>0</x:v>
      </x:c>
      <x:c r="Y161" s="2" t="str">
        <x:f>TEXT(C161,"yyyy-mm")</x:f>
        <x:v>2025-02</x:v>
      </x:c>
      <x:c r="Z161" s="2" t="str">
        <x:f>IF(OR(AND(F161="STKREORG",N161&lt;&gt;"Applied 4-for-1 CDR split"),AND(F161="SELL",G161&gt;P161+0.000001)),"REVIEW","OK")</x:f>
        <x:v>OK</x:v>
      </x:c>
    </x:row>
    <x:row r="162" ht="21" customHeight="1">
      <x:c r="A162" s="2"/>
      <x:c r="B162" s="2" t="str">
        <x:v>5e5d340b1ae40f0f49c3</x:v>
      </x:c>
      <x:c r="C162" s="16" t="d">
        <x:v>2025-02-27T00:00:00.000Z</x:v>
      </x:c>
      <x:c r="D162" s="16" t="d">
        <x:v>2025-02-26T00:00:00.000Z</x:v>
      </x:c>
      <x:c r="E162" s="2" t="str">
        <x:v>PLTR_ORD</x:v>
      </x:c>
      <x:c r="F162" s="2" t="str">
        <x:v>SELL</x:v>
      </x:c>
      <x:c r="G162" s="17" t="n">
        <x:v>2</x:v>
      </x:c>
      <x:c r="H162" s="18" t="n">
        <x:v>56.08</x:v>
      </x:c>
      <x:c r="I162" s="18" t="str">
        <x:v>CAD</x:v>
      </x:c>
      <x:c r="J162" s="18" t="n">
        <x:v>94.23</x:v>
      </x:c>
      <x:c r="K162" s="2" t="str">
        <x:v>TFSA-monthly-statement-transactions-DEMO_CAD-2025-02-01.csv</x:v>
      </x:c>
      <x:c r="L162" s="2" t="n">
        <x:v>19</x:v>
      </x:c>
      <x:c r="M162" s="2" t="str">
        <x:v>PLTR - Palantir Technologies Inc.: Sold 2.0000 shares (executed at 2025-02-26)</x:v>
      </x:c>
      <x:c r="N162" s="2" t="str">
        <x:v>Imported</x:v>
      </x:c>
      <x:c r="O162" s="17" t="n">
        <x:f>IF(F162="BUY",G162,IF(F162="SELL",-G162,IF(AND(F162="STKREORG",N162="Applied 4-for-1 CDR split"),G162,0)))</x:f>
        <x:v>-2</x:v>
      </x:c>
      <x:c r="P162" s="17" t="n">
        <x:f>SUMIF($E$6:E161,E162,$O$6:O161)</x:f>
        <x:v>2</x:v>
      </x:c>
      <x:c r="Q162" s="18" t="n">
        <x:f>SUMIF($E$6:E161,E162,$S$6:S161)</x:f>
        <x:v>72.58</x:v>
      </x:c>
      <x:c r="R162" s="18" t="n">
        <x:f>IF(P162&gt;0,Q162/P162,0)</x:f>
        <x:v>36.29</x:v>
      </x:c>
      <x:c r="S162" s="18" t="n">
        <x:f>IF(F162="BUY",-H162,IF(F162="SELL",-G162*R162,0))</x:f>
        <x:v>-72.58</x:v>
      </x:c>
      <x:c r="T162" s="18" t="n">
        <x:f>IF(F162="SELL",IF(G162&gt;P162+0.000001,"REVIEW",H162-G162*R162),0)</x:f>
        <x:v>-16.5</x:v>
      </x:c>
      <x:c r="U162" s="17" t="n">
        <x:f>P162+O162</x:f>
        <x:v>0</x:v>
      </x:c>
      <x:c r="V162" s="18" t="n">
        <x:f>Q162+S162</x:f>
        <x:v>0</x:v>
      </x:c>
      <x:c r="W162" s="18" t="n">
        <x:f>IF(F162="DIV",H162,0)</x:f>
        <x:v>0</x:v>
      </x:c>
      <x:c r="X162" s="18" t="n">
        <x:f>IF(F162="CONT",H162,0)</x:f>
        <x:v>0</x:v>
      </x:c>
      <x:c r="Y162" s="2" t="str">
        <x:f>TEXT(C162,"yyyy-mm")</x:f>
        <x:v>2025-02</x:v>
      </x:c>
      <x:c r="Z162" s="2" t="str">
        <x:f>IF(OR(AND(F162="STKREORG",N162&lt;&gt;"Applied 4-for-1 CDR split"),AND(F162="SELL",G162&gt;P162+0.000001)),"REVIEW","OK")</x:f>
        <x:v>OK</x:v>
      </x:c>
    </x:row>
    <x:row r="163" ht="21" customHeight="1">
      <x:c r="A163" s="2"/>
      <x:c r="B163" s="2" t="str">
        <x:v>2e87d3482e8aede20298</x:v>
      </x:c>
      <x:c r="C163" s="16" t="d">
        <x:v>2025-02-27T00:00:00.000Z</x:v>
      </x:c>
      <x:c r="D163" s="16" t="d">
        <x:v>2025-02-26T00:00:00.000Z</x:v>
      </x:c>
      <x:c r="E163" s="2" t="str">
        <x:v>XEQT_ORD</x:v>
      </x:c>
      <x:c r="F163" s="2" t="str">
        <x:v>SELL</x:v>
      </x:c>
      <x:c r="G163" s="17" t="n">
        <x:v>168</x:v>
      </x:c>
      <x:c r="H163" s="18" t="n">
        <x:v>5848.4</x:v>
      </x:c>
      <x:c r="I163" s="18" t="str">
        <x:v>CAD</x:v>
      </x:c>
      <x:c r="J163" s="18" t="n">
        <x:v>5942.63</x:v>
      </x:c>
      <x:c r="K163" s="2" t="str">
        <x:v>TFSA-monthly-statement-transactions-DEMO_CAD-2025-02-01.csv</x:v>
      </x:c>
      <x:c r="L163" s="2" t="n">
        <x:v>20</x:v>
      </x:c>
      <x:c r="M163" s="2" t="str">
        <x:v>XEQT - iShares Core Equity ETF Portfolio: Sold 168.0000 shares (executed at 2025-02-26)</x:v>
      </x:c>
      <x:c r="N163" s="2" t="str">
        <x:v>Imported</x:v>
      </x:c>
      <x:c r="O163" s="17" t="n">
        <x:f>IF(F163="BUY",G163,IF(F163="SELL",-G163,IF(AND(F163="STKREORG",N163="Applied 4-for-1 CDR split"),G163,0)))</x:f>
        <x:v>-168</x:v>
      </x:c>
      <x:c r="P163" s="17" t="n">
        <x:f>SUMIF($E$6:E162,E163,$O$6:O162)</x:f>
        <x:v>168.6174</x:v>
      </x:c>
      <x:c r="Q163" s="18" t="n">
        <x:f>SUMIF($E$6:E162,E163,$S$6:S162)</x:f>
        <x:v>5449.79</x:v>
      </x:c>
      <x:c r="R163" s="18" t="n">
        <x:f>IF(P163&gt;0,Q163/P163,0)</x:f>
        <x:v>32.32044854208403</x:v>
      </x:c>
      <x:c r="S163" s="18" t="n">
        <x:f>IF(F163="BUY",-H163,IF(F163="SELL",-G163*R163,0))</x:f>
        <x:v>-5429.835355070117</x:v>
      </x:c>
      <x:c r="T163" s="18" t="n">
        <x:f>IF(F163="SELL",IF(G163&gt;P163+0.000001,"REVIEW",H163-G163*R163),0)</x:f>
        <x:v>418.5646449298829</x:v>
      </x:c>
      <x:c r="U163" s="17" t="n">
        <x:f>P163+O163</x:f>
        <x:v>0.6174000000000035</x:v>
      </x:c>
      <x:c r="V163" s="18" t="n">
        <x:f>Q163+S163</x:f>
        <x:v>19.954644929883216</x:v>
      </x:c>
      <x:c r="W163" s="18" t="n">
        <x:f>IF(F163="DIV",H163,0)</x:f>
        <x:v>0</x:v>
      </x:c>
      <x:c r="X163" s="18" t="n">
        <x:f>IF(F163="CONT",H163,0)</x:f>
        <x:v>0</x:v>
      </x:c>
      <x:c r="Y163" s="2" t="str">
        <x:f>TEXT(C163,"yyyy-mm")</x:f>
        <x:v>2025-02</x:v>
      </x:c>
      <x:c r="Z163" s="2" t="str">
        <x:f>IF(OR(AND(F163="STKREORG",N163&lt;&gt;"Applied 4-for-1 CDR split"),AND(F163="SELL",G163&gt;P163+0.000001)),"REVIEW","OK")</x:f>
        <x:v>OK</x:v>
      </x:c>
    </x:row>
    <x:row r="164" ht="21" customHeight="1">
      <x:c r="A164" s="2"/>
      <x:c r="B164" s="2" t="str">
        <x:v>412e306ef215ccd83386</x:v>
      </x:c>
      <x:c r="C164" s="16" t="d">
        <x:v>2025-02-27T00:00:00.000Z</x:v>
      </x:c>
      <x:c r="D164" s="16" t="d">
        <x:v>2025-02-26T00:00:00.000Z</x:v>
      </x:c>
      <x:c r="E164" s="2" t="str">
        <x:v>FINN_ORD</x:v>
      </x:c>
      <x:c r="F164" s="2" t="str">
        <x:v>SELL</x:v>
      </x:c>
      <x:c r="G164" s="17" t="n">
        <x:v>56</x:v>
      </x:c>
      <x:c r="H164" s="18" t="n">
        <x:v>1052.24</x:v>
      </x:c>
      <x:c r="I164" s="18" t="str">
        <x:v>CAD</x:v>
      </x:c>
      <x:c r="J164" s="18" t="n">
        <x:v>6994.87</x:v>
      </x:c>
      <x:c r="K164" s="2" t="str">
        <x:v>TFSA-monthly-statement-transactions-DEMO_CAD-2025-02-01.csv</x:v>
      </x:c>
      <x:c r="L164" s="2" t="n">
        <x:v>21</x:v>
      </x:c>
      <x:c r="M164" s="2" t="str">
        <x:v>FINN - Fidelity Global Innovators ETF - Series L: Sold 56.0000 shares (executed at 2025-02-26)</x:v>
      </x:c>
      <x:c r="N164" s="2" t="str">
        <x:v>Imported</x:v>
      </x:c>
      <x:c r="O164" s="17" t="n">
        <x:f>IF(F164="BUY",G164,IF(F164="SELL",-G164,IF(AND(F164="STKREORG",N164="Applied 4-for-1 CDR split"),G164,0)))</x:f>
        <x:v>-56</x:v>
      </x:c>
      <x:c r="P164" s="17" t="n">
        <x:f>SUMIF($E$6:E163,E164,$O$6:O163)</x:f>
        <x:v>56</x:v>
      </x:c>
      <x:c r="Q164" s="18" t="n">
        <x:f>SUMIF($E$6:E163,E164,$S$6:S163)</x:f>
        <x:v>1103.14</x:v>
      </x:c>
      <x:c r="R164" s="18" t="n">
        <x:f>IF(P164&gt;0,Q164/P164,0)</x:f>
        <x:v>19.698928571428574</x:v>
      </x:c>
      <x:c r="S164" s="18" t="n">
        <x:f>IF(F164="BUY",-H164,IF(F164="SELL",-G164*R164,0))</x:f>
        <x:v>-1103.14</x:v>
      </x:c>
      <x:c r="T164" s="18" t="n">
        <x:f>IF(F164="SELL",IF(G164&gt;P164+0.000001,"REVIEW",H164-G164*R164),0)</x:f>
        <x:v>-50.90000000000009</x:v>
      </x:c>
      <x:c r="U164" s="17" t="n">
        <x:f>P164+O164</x:f>
        <x:v>0</x:v>
      </x:c>
      <x:c r="V164" s="18" t="n">
        <x:f>Q164+S164</x:f>
        <x:v>0</x:v>
      </x:c>
      <x:c r="W164" s="18" t="n">
        <x:f>IF(F164="DIV",H164,0)</x:f>
        <x:v>0</x:v>
      </x:c>
      <x:c r="X164" s="18" t="n">
        <x:f>IF(F164="CONT",H164,0)</x:f>
        <x:v>0</x:v>
      </x:c>
      <x:c r="Y164" s="2" t="str">
        <x:f>TEXT(C164,"yyyy-mm")</x:f>
        <x:v>2025-02</x:v>
      </x:c>
      <x:c r="Z164" s="2" t="str">
        <x:f>IF(OR(AND(F164="STKREORG",N164&lt;&gt;"Applied 4-for-1 CDR split"),AND(F164="SELL",G164&gt;P164+0.000001)),"REVIEW","OK")</x:f>
        <x:v>OK</x:v>
      </x:c>
    </x:row>
    <x:row r="165" ht="21" customHeight="1">
      <x:c r="A165" s="2"/>
      <x:c r="B165" s="2" t="str">
        <x:v>1bce5c49ba2646f1dc64</x:v>
      </x:c>
      <x:c r="C165" s="16" t="d">
        <x:v>2025-02-27T00:00:00.000Z</x:v>
      </x:c>
      <x:c r="D165" s="16" t="d">
        <x:v>2025-02-26T00:00:00.000Z</x:v>
      </x:c>
      <x:c r="E165" s="2" t="str">
        <x:v>VFV_ORD</x:v>
      </x:c>
      <x:c r="F165" s="2" t="str">
        <x:v>SELL</x:v>
      </x:c>
      <x:c r="G165" s="17" t="n">
        <x:v>52</x:v>
      </x:c>
      <x:c r="H165" s="18" t="n">
        <x:v>7906.08</x:v>
      </x:c>
      <x:c r="I165" s="18" t="str">
        <x:v>CAD</x:v>
      </x:c>
      <x:c r="J165" s="18" t="n">
        <x:v>14900.95</x:v>
      </x:c>
      <x:c r="K165" s="2" t="str">
        <x:v>TFSA-monthly-statement-transactions-DEMO_CAD-2025-02-01.csv</x:v>
      </x:c>
      <x:c r="L165" s="2" t="n">
        <x:v>22</x:v>
      </x:c>
      <x:c r="M165" s="2" t="str">
        <x:v>VFV - Vanguard S&amp;P 500 Index ETF: Sold 52.0000 shares (executed at 2025-02-26)</x:v>
      </x:c>
      <x:c r="N165" s="2" t="str">
        <x:v>Imported</x:v>
      </x:c>
      <x:c r="O165" s="17" t="n">
        <x:f>IF(F165="BUY",G165,IF(F165="SELL",-G165,IF(AND(F165="STKREORG",N165="Applied 4-for-1 CDR split"),G165,0)))</x:f>
        <x:v>-52</x:v>
      </x:c>
      <x:c r="P165" s="17" t="n">
        <x:f>SUMIF($E$6:E164,E165,$O$6:O164)</x:f>
        <x:v>52.031</x:v>
      </x:c>
      <x:c r="Q165" s="18" t="n">
        <x:f>SUMIF($E$6:E164,E165,$S$6:S164)</x:f>
        <x:v>7620.01</x:v>
      </x:c>
      <x:c r="R165" s="18" t="n">
        <x:f>IF(P165&gt;0,Q165/P165,0)</x:f>
        <x:v>146.4513463127751</x:v>
      </x:c>
      <x:c r="S165" s="18" t="n">
        <x:f>IF(F165="BUY",-H165,IF(F165="SELL",-G165*R165,0))</x:f>
        <x:v>-7615.470008264305</x:v>
      </x:c>
      <x:c r="T165" s="18" t="n">
        <x:f>IF(F165="SELL",IF(G165&gt;P165+0.000001,"REVIEW",H165-G165*R165),0)</x:f>
        <x:v>290.6099917356951</x:v>
      </x:c>
      <x:c r="U165" s="17" t="n">
        <x:f>P165+O165</x:f>
        <x:v>0.030999999999998806</x:v>
      </x:c>
      <x:c r="V165" s="18" t="n">
        <x:f>Q165+S165</x:f>
        <x:v>4.5399917356953665</x:v>
      </x:c>
      <x:c r="W165" s="18" t="n">
        <x:f>IF(F165="DIV",H165,0)</x:f>
        <x:v>0</x:v>
      </x:c>
      <x:c r="X165" s="18" t="n">
        <x:f>IF(F165="CONT",H165,0)</x:f>
        <x:v>0</x:v>
      </x:c>
      <x:c r="Y165" s="2" t="str">
        <x:f>TEXT(C165,"yyyy-mm")</x:f>
        <x:v>2025-02</x:v>
      </x:c>
      <x:c r="Z165" s="2" t="str">
        <x:f>IF(OR(AND(F165="STKREORG",N165&lt;&gt;"Applied 4-for-1 CDR split"),AND(F165="SELL",G165&gt;P165+0.000001)),"REVIEW","OK")</x:f>
        <x:v>OK</x:v>
      </x:c>
    </x:row>
    <x:row r="166" ht="21" customHeight="1">
      <x:c r="A166" s="2"/>
      <x:c r="B166" s="2" t="str">
        <x:v>80273e62efd7592a9533</x:v>
      </x:c>
      <x:c r="C166" s="16" t="d">
        <x:v>2025-02-27T00:00:00.000Z</x:v>
      </x:c>
      <x:c r="D166" s="16" t="d">
        <x:v>2025-02-26T00:00:00.000Z</x:v>
      </x:c>
      <x:c r="E166" s="2" t="str">
        <x:v>NVDA_CDR</x:v>
      </x:c>
      <x:c r="F166" s="2" t="str">
        <x:v>SELL</x:v>
      </x:c>
      <x:c r="G166" s="17" t="n">
        <x:v>7</x:v>
      </x:c>
      <x:c r="H166" s="18" t="n">
        <x:v>210.91</x:v>
      </x:c>
      <x:c r="I166" s="18" t="str">
        <x:v>CAD</x:v>
      </x:c>
      <x:c r="J166" s="18" t="n">
        <x:v>15111.86</x:v>
      </x:c>
      <x:c r="K166" s="2" t="str">
        <x:v>TFSA-monthly-statement-transactions-DEMO_CAD-2025-02-01.csv</x:v>
      </x:c>
      <x:c r="L166" s="2" t="n">
        <x:v>23</x:v>
      </x:c>
      <x:c r="M166" s="2" t="str">
        <x:v>NVDA - Nvidia Corp: Sold 7.0000 shares (executed at 2025-02-26)</x:v>
      </x:c>
      <x:c r="N166" s="2" t="str">
        <x:v>Imported</x:v>
      </x:c>
      <x:c r="O166" s="17" t="n">
        <x:f>IF(F166="BUY",G166,IF(F166="SELL",-G166,IF(AND(F166="STKREORG",N166="Applied 4-for-1 CDR split"),G166,0)))</x:f>
        <x:v>-7</x:v>
      </x:c>
      <x:c r="P166" s="17" t="n">
        <x:f>SUMIF($E$6:E165,E166,$O$6:O165)</x:f>
        <x:v>7</x:v>
      </x:c>
      <x:c r="Q166" s="18" t="n">
        <x:f>SUMIF($E$6:E165,E166,$S$6:S165)</x:f>
        <x:v>221.84</x:v>
      </x:c>
      <x:c r="R166" s="18" t="n">
        <x:f>IF(P166&gt;0,Q166/P166,0)</x:f>
        <x:v>31.69142857142857</x:v>
      </x:c>
      <x:c r="S166" s="18" t="n">
        <x:f>IF(F166="BUY",-H166,IF(F166="SELL",-G166*R166,0))</x:f>
        <x:v>-221.84</x:v>
      </x:c>
      <x:c r="T166" s="18" t="n">
        <x:f>IF(F166="SELL",IF(G166&gt;P166+0.000001,"REVIEW",H166-G166*R166),0)</x:f>
        <x:v>-10.930000000000007</x:v>
      </x:c>
      <x:c r="U166" s="17" t="n">
        <x:f>P166+O166</x:f>
        <x:v>0</x:v>
      </x:c>
      <x:c r="V166" s="18" t="n">
        <x:f>Q166+S166</x:f>
        <x:v>0</x:v>
      </x:c>
      <x:c r="W166" s="18" t="n">
        <x:f>IF(F166="DIV",H166,0)</x:f>
        <x:v>0</x:v>
      </x:c>
      <x:c r="X166" s="18" t="n">
        <x:f>IF(F166="CONT",H166,0)</x:f>
        <x:v>0</x:v>
      </x:c>
      <x:c r="Y166" s="2" t="str">
        <x:f>TEXT(C166,"yyyy-mm")</x:f>
        <x:v>2025-02</x:v>
      </x:c>
      <x:c r="Z166" s="2" t="str">
        <x:f>IF(OR(AND(F166="STKREORG",N166&lt;&gt;"Applied 4-for-1 CDR split"),AND(F166="SELL",G166&gt;P166+0.000001)),"REVIEW","OK")</x:f>
        <x:v>OK</x:v>
      </x:c>
    </x:row>
    <x:row r="167" ht="21" customHeight="1">
      <x:c r="A167" s="2"/>
      <x:c r="B167" s="2" t="str">
        <x:v>ec0f4412334ad91343d4</x:v>
      </x:c>
      <x:c r="C167" s="16" t="d">
        <x:v>2025-02-27T00:00:00.000Z</x:v>
      </x:c>
      <x:c r="D167" s="16" t="d">
        <x:v>2025-02-26T00:00:00.000Z</x:v>
      </x:c>
      <x:c r="E167" s="2" t="str">
        <x:v>TEC_ORD</x:v>
      </x:c>
      <x:c r="F167" s="2" t="str">
        <x:v>SELL</x:v>
      </x:c>
      <x:c r="G167" s="17" t="n">
        <x:v>11</x:v>
      </x:c>
      <x:c r="H167" s="18" t="n">
        <x:v>498.41</x:v>
      </x:c>
      <x:c r="I167" s="18" t="str">
        <x:v>CAD</x:v>
      </x:c>
      <x:c r="J167" s="18" t="n">
        <x:v>15610.27</x:v>
      </x:c>
      <x:c r="K167" s="2" t="str">
        <x:v>TFSA-monthly-statement-transactions-DEMO_CAD-2025-02-01.csv</x:v>
      </x:c>
      <x:c r="L167" s="2" t="n">
        <x:v>24</x:v>
      </x:c>
      <x:c r="M167" s="2" t="str">
        <x:v>TEC - TD Global Tech Leaders Index ETF: Sold 11.0000 shares (executed at 2025-02-26)</x:v>
      </x:c>
      <x:c r="N167" s="2" t="str">
        <x:v>Imported</x:v>
      </x:c>
      <x:c r="O167" s="17" t="n">
        <x:f>IF(F167="BUY",G167,IF(F167="SELL",-G167,IF(AND(F167="STKREORG",N167="Applied 4-for-1 CDR split"),G167,0)))</x:f>
        <x:v>-11</x:v>
      </x:c>
      <x:c r="P167" s="17" t="n">
        <x:f>SUMIF($E$6:E166,E167,$O$6:O166)</x:f>
        <x:v>11</x:v>
      </x:c>
      <x:c r="Q167" s="18" t="n">
        <x:f>SUMIF($E$6:E166,E167,$S$6:S166)</x:f>
        <x:v>505.88999999999993</x:v>
      </x:c>
      <x:c r="R167" s="18" t="n">
        <x:f>IF(P167&gt;0,Q167/P167,0)</x:f>
        <x:v>45.989999999999995</x:v>
      </x:c>
      <x:c r="S167" s="18" t="n">
        <x:f>IF(F167="BUY",-H167,IF(F167="SELL",-G167*R167,0))</x:f>
        <x:v>-505.88999999999993</x:v>
      </x:c>
      <x:c r="T167" s="18" t="n">
        <x:f>IF(F167="SELL",IF(G167&gt;P167+0.000001,"REVIEW",H167-G167*R167),0)</x:f>
        <x:v>-7.4799999999999045</x:v>
      </x:c>
      <x:c r="U167" s="17" t="n">
        <x:f>P167+O167</x:f>
        <x:v>0</x:v>
      </x:c>
      <x:c r="V167" s="18" t="n">
        <x:f>Q167+S167</x:f>
        <x:v>0</x:v>
      </x:c>
      <x:c r="W167" s="18" t="n">
        <x:f>IF(F167="DIV",H167,0)</x:f>
        <x:v>0</x:v>
      </x:c>
      <x:c r="X167" s="18" t="n">
        <x:f>IF(F167="CONT",H167,0)</x:f>
        <x:v>0</x:v>
      </x:c>
      <x:c r="Y167" s="2" t="str">
        <x:f>TEXT(C167,"yyyy-mm")</x:f>
        <x:v>2025-02</x:v>
      </x:c>
      <x:c r="Z167" s="2" t="str">
        <x:f>IF(OR(AND(F167="STKREORG",N167&lt;&gt;"Applied 4-for-1 CDR split"),AND(F167="SELL",G167&gt;P167+0.000001)),"REVIEW","OK")</x:f>
        <x:v>OK</x:v>
      </x:c>
    </x:row>
    <x:row r="168" ht="21" customHeight="1">
      <x:c r="A168" s="2"/>
      <x:c r="B168" s="2" t="str">
        <x:v>b1a1062f72f83f56e9ba</x:v>
      </x:c>
      <x:c r="C168" s="16" t="d">
        <x:v>2025-02-27T00:00:00.000Z</x:v>
      </x:c>
      <x:c r="D168" s="16" t="d">
        <x:v>2025-02-26T00:00:00.000Z</x:v>
      </x:c>
      <x:c r="E168" s="2" t="str">
        <x:v>QQC_ORD</x:v>
      </x:c>
      <x:c r="F168" s="2" t="str">
        <x:v>SELL</x:v>
      </x:c>
      <x:c r="G168" s="17" t="n">
        <x:v>4</x:v>
      </x:c>
      <x:c r="H168" s="18" t="n">
        <x:v>144.4</x:v>
      </x:c>
      <x:c r="I168" s="18" t="str">
        <x:v>CAD</x:v>
      </x:c>
      <x:c r="J168" s="18" t="n">
        <x:v>15754.67</x:v>
      </x:c>
      <x:c r="K168" s="2" t="str">
        <x:v>TFSA-monthly-statement-transactions-DEMO_CAD-2025-02-01.csv</x:v>
      </x:c>
      <x:c r="L168" s="2" t="n">
        <x:v>25</x:v>
      </x:c>
      <x:c r="M168" s="2" t="str">
        <x:v>QQC - Invesco Nasdaq 100 Index ETF - CAD: Sold 4.0000 shares (executed at 2025-02-26)</x:v>
      </x:c>
      <x:c r="N168" s="2" t="str">
        <x:v>Imported</x:v>
      </x:c>
      <x:c r="O168" s="17" t="n">
        <x:f>IF(F168="BUY",G168,IF(F168="SELL",-G168,IF(AND(F168="STKREORG",N168="Applied 4-for-1 CDR split"),G168,0)))</x:f>
        <x:v>-4</x:v>
      </x:c>
      <x:c r="P168" s="17" t="n">
        <x:f>SUMIF($E$6:E167,E168,$O$6:O167)</x:f>
        <x:v>4</x:v>
      </x:c>
      <x:c r="Q168" s="18" t="n">
        <x:f>SUMIF($E$6:E167,E168,$S$6:S167)</x:f>
        <x:v>147.07</x:v>
      </x:c>
      <x:c r="R168" s="18" t="n">
        <x:f>IF(P168&gt;0,Q168/P168,0)</x:f>
        <x:v>36.7675</x:v>
      </x:c>
      <x:c r="S168" s="18" t="n">
        <x:f>IF(F168="BUY",-H168,IF(F168="SELL",-G168*R168,0))</x:f>
        <x:v>-147.07</x:v>
      </x:c>
      <x:c r="T168" s="18" t="n">
        <x:f>IF(F168="SELL",IF(G168&gt;P168+0.000001,"REVIEW",H168-G168*R168),0)</x:f>
        <x:v>-2.6699999999999875</x:v>
      </x:c>
      <x:c r="U168" s="17" t="n">
        <x:f>P168+O168</x:f>
        <x:v>0</x:v>
      </x:c>
      <x:c r="V168" s="18" t="n">
        <x:f>Q168+S168</x:f>
        <x:v>0</x:v>
      </x:c>
      <x:c r="W168" s="18" t="n">
        <x:f>IF(F168="DIV",H168,0)</x:f>
        <x:v>0</x:v>
      </x:c>
      <x:c r="X168" s="18" t="n">
        <x:f>IF(F168="CONT",H168,0)</x:f>
        <x:v>0</x:v>
      </x:c>
      <x:c r="Y168" s="2" t="str">
        <x:f>TEXT(C168,"yyyy-mm")</x:f>
        <x:v>2025-02</x:v>
      </x:c>
      <x:c r="Z168" s="2" t="str">
        <x:f>IF(OR(AND(F168="STKREORG",N168&lt;&gt;"Applied 4-for-1 CDR split"),AND(F168="SELL",G168&gt;P168+0.000001)),"REVIEW","OK")</x:f>
        <x:v>OK</x:v>
      </x:c>
    </x:row>
    <x:row r="169" ht="21" customHeight="1">
      <x:c r="A169" s="2"/>
      <x:c r="B169" s="2" t="str">
        <x:v>526d9424e8179c76235c</x:v>
      </x:c>
      <x:c r="C169" s="16" t="d">
        <x:v>2025-02-27T00:00:00.000Z</x:v>
      </x:c>
      <x:c r="D169" s="16" t="d">
        <x:v>2025-02-26T00:00:00.000Z</x:v>
      </x:c>
      <x:c r="E169" s="2" t="str">
        <x:v>TD_ORD</x:v>
      </x:c>
      <x:c r="F169" s="2" t="str">
        <x:v>SELL</x:v>
      </x:c>
      <x:c r="G169" s="17" t="n">
        <x:v>6</x:v>
      </x:c>
      <x:c r="H169" s="18" t="n">
        <x:v>511.68</x:v>
      </x:c>
      <x:c r="I169" s="18" t="str">
        <x:v>CAD</x:v>
      </x:c>
      <x:c r="J169" s="18" t="n">
        <x:v>16266.35</x:v>
      </x:c>
      <x:c r="K169" s="2" t="str">
        <x:v>TFSA-monthly-statement-transactions-DEMO_CAD-2025-02-01.csv</x:v>
      </x:c>
      <x:c r="L169" s="2" t="n">
        <x:v>26</x:v>
      </x:c>
      <x:c r="M169" s="2" t="str">
        <x:v>TD - The Toronto-Dominion Bank: Sold 6.0000 shares (executed at 2025-02-26)</x:v>
      </x:c>
      <x:c r="N169" s="2" t="str">
        <x:v>Imported</x:v>
      </x:c>
      <x:c r="O169" s="17" t="n">
        <x:f>IF(F169="BUY",G169,IF(F169="SELL",-G169,IF(AND(F169="STKREORG",N169="Applied 4-for-1 CDR split"),G169,0)))</x:f>
        <x:v>-6</x:v>
      </x:c>
      <x:c r="P169" s="17" t="n">
        <x:f>SUMIF($E$6:E168,E169,$O$6:O168)</x:f>
        <x:v>6</x:v>
      </x:c>
      <x:c r="Q169" s="18" t="n">
        <x:f>SUMIF($E$6:E168,E169,$S$6:S168)</x:f>
        <x:v>492.34</x:v>
      </x:c>
      <x:c r="R169" s="18" t="n">
        <x:f>IF(P169&gt;0,Q169/P169,0)</x:f>
        <x:v>82.05666666666666</x:v>
      </x:c>
      <x:c r="S169" s="18" t="n">
        <x:f>IF(F169="BUY",-H169,IF(F169="SELL",-G169*R169,0))</x:f>
        <x:v>-492.3399999999999</x:v>
      </x:c>
      <x:c r="T169" s="18" t="n">
        <x:f>IF(F169="SELL",IF(G169&gt;P169+0.000001,"REVIEW",H169-G169*R169),0)</x:f>
        <x:v>19.34000000000009</x:v>
      </x:c>
      <x:c r="U169" s="17" t="n">
        <x:f>P169+O169</x:f>
        <x:v>0</x:v>
      </x:c>
      <x:c r="V169" s="18" t="n">
        <x:f>Q169+S169</x:f>
        <x:v>5.684341886080802e-14</x:v>
      </x:c>
      <x:c r="W169" s="18" t="n">
        <x:f>IF(F169="DIV",H169,0)</x:f>
        <x:v>0</x:v>
      </x:c>
      <x:c r="X169" s="18" t="n">
        <x:f>IF(F169="CONT",H169,0)</x:f>
        <x:v>0</x:v>
      </x:c>
      <x:c r="Y169" s="2" t="str">
        <x:f>TEXT(C169,"yyyy-mm")</x:f>
        <x:v>2025-02</x:v>
      </x:c>
      <x:c r="Z169" s="2" t="str">
        <x:f>IF(OR(AND(F169="STKREORG",N169&lt;&gt;"Applied 4-for-1 CDR split"),AND(F169="SELL",G169&gt;P169+0.000001)),"REVIEW","OK")</x:f>
        <x:v>OK</x:v>
      </x:c>
    </x:row>
    <x:row r="170" ht="21" customHeight="1">
      <x:c r="A170" s="2"/>
      <x:c r="B170" s="2" t="str">
        <x:v>42294b76d7870f2a1285</x:v>
      </x:c>
      <x:c r="C170" s="16" t="d">
        <x:v>2025-02-27T00:00:00.000Z</x:v>
      </x:c>
      <x:c r="D170" s="16" t="d">
        <x:v>2025-02-26T00:00:00.000Z</x:v>
      </x:c>
      <x:c r="E170" s="2" t="str">
        <x:v>BN_ORD</x:v>
      </x:c>
      <x:c r="F170" s="2" t="str">
        <x:v>SELL</x:v>
      </x:c>
      <x:c r="G170" s="17" t="n">
        <x:v>2</x:v>
      </x:c>
      <x:c r="H170" s="18" t="n">
        <x:v>165.98</x:v>
      </x:c>
      <x:c r="I170" s="18" t="str">
        <x:v>CAD</x:v>
      </x:c>
      <x:c r="J170" s="18" t="n">
        <x:v>16432.33</x:v>
      </x:c>
      <x:c r="K170" s="2" t="str">
        <x:v>TFSA-monthly-statement-transactions-DEMO_CAD-2025-02-01.csv</x:v>
      </x:c>
      <x:c r="L170" s="2" t="n">
        <x:v>27</x:v>
      </x:c>
      <x:c r="M170" s="2" t="str">
        <x:v>BN - Brookfield Corp.: Sold 2.0000 shares (executed at 2025-02-26)</x:v>
      </x:c>
      <x:c r="N170" s="2" t="str">
        <x:v>Imported</x:v>
      </x:c>
      <x:c r="O170" s="17" t="n">
        <x:f>IF(F170="BUY",G170,IF(F170="SELL",-G170,IF(AND(F170="STKREORG",N170="Applied 4-for-1 CDR split"),G170,0)))</x:f>
        <x:v>-2</x:v>
      </x:c>
      <x:c r="P170" s="17" t="n">
        <x:f>SUMIF($E$6:E169,E170,$O$6:O169)</x:f>
        <x:v>2</x:v>
      </x:c>
      <x:c r="Q170" s="18" t="n">
        <x:f>SUMIF($E$6:E169,E170,$S$6:S169)</x:f>
        <x:v>160.18</x:v>
      </x:c>
      <x:c r="R170" s="18" t="n">
        <x:f>IF(P170&gt;0,Q170/P170,0)</x:f>
        <x:v>80.09</x:v>
      </x:c>
      <x:c r="S170" s="18" t="n">
        <x:f>IF(F170="BUY",-H170,IF(F170="SELL",-G170*R170,0))</x:f>
        <x:v>-160.18</x:v>
      </x:c>
      <x:c r="T170" s="18" t="n">
        <x:f>IF(F170="SELL",IF(G170&gt;P170+0.000001,"REVIEW",H170-G170*R170),0)</x:f>
        <x:v>5.799999999999983</x:v>
      </x:c>
      <x:c r="U170" s="17" t="n">
        <x:f>P170+O170</x:f>
        <x:v>0</x:v>
      </x:c>
      <x:c r="V170" s="18" t="n">
        <x:f>Q170+S170</x:f>
        <x:v>0</x:v>
      </x:c>
      <x:c r="W170" s="18" t="n">
        <x:f>IF(F170="DIV",H170,0)</x:f>
        <x:v>0</x:v>
      </x:c>
      <x:c r="X170" s="18" t="n">
        <x:f>IF(F170="CONT",H170,0)</x:f>
        <x:v>0</x:v>
      </x:c>
      <x:c r="Y170" s="2" t="str">
        <x:f>TEXT(C170,"yyyy-mm")</x:f>
        <x:v>2025-02</x:v>
      </x:c>
      <x:c r="Z170" s="2" t="str">
        <x:f>IF(OR(AND(F170="STKREORG",N170&lt;&gt;"Applied 4-for-1 CDR split"),AND(F170="SELL",G170&gt;P170+0.000001)),"REVIEW","OK")</x:f>
        <x:v>OK</x:v>
      </x:c>
    </x:row>
    <x:row r="171" ht="21" customHeight="1">
      <x:c r="A171" s="2"/>
      <x:c r="B171" s="2" t="str">
        <x:v>c344224e45045f8353a8</x:v>
      </x:c>
      <x:c r="C171" s="16" t="d">
        <x:v>2025-02-27T00:00:00.000Z</x:v>
      </x:c>
      <x:c r="D171" s="16" t="d">
        <x:v>2025-02-26T00:00:00.000Z</x:v>
      </x:c>
      <x:c r="E171" s="2" t="str">
        <x:v>AAPL_CDR</x:v>
      </x:c>
      <x:c r="F171" s="2" t="str">
        <x:v>SELL</x:v>
      </x:c>
      <x:c r="G171" s="17" t="n">
        <x:v>18</x:v>
      </x:c>
      <x:c r="H171" s="18" t="n">
        <x:v>641.7</x:v>
      </x:c>
      <x:c r="I171" s="18" t="str">
        <x:v>CAD</x:v>
      </x:c>
      <x:c r="J171" s="18" t="n">
        <x:v>17074.03</x:v>
      </x:c>
      <x:c r="K171" s="2" t="str">
        <x:v>TFSA-monthly-statement-transactions-DEMO_CAD-2025-02-01.csv</x:v>
      </x:c>
      <x:c r="L171" s="2" t="n">
        <x:v>28</x:v>
      </x:c>
      <x:c r="M171" s="2" t="str">
        <x:v>AAPL - Apple CDR (CAD Hedged) : Sold 18.0000 shares (executed at 2025-02-26)</x:v>
      </x:c>
      <x:c r="N171" s="2" t="str">
        <x:v>Imported</x:v>
      </x:c>
      <x:c r="O171" s="17" t="n">
        <x:f>IF(F171="BUY",G171,IF(F171="SELL",-G171,IF(AND(F171="STKREORG",N171="Applied 4-for-1 CDR split"),G171,0)))</x:f>
        <x:v>-18</x:v>
      </x:c>
      <x:c r="P171" s="17" t="n">
        <x:f>SUMIF($E$6:E170,E171,$O$6:O170)</x:f>
        <x:v>18</x:v>
      </x:c>
      <x:c r="Q171" s="18" t="n">
        <x:f>SUMIF($E$6:E170,E171,$S$6:S170)</x:f>
        <x:v>608.1800000000001</x:v>
      </x:c>
      <x:c r="R171" s="18" t="n">
        <x:f>IF(P171&gt;0,Q171/P171,0)</x:f>
        <x:v>33.787777777777784</x:v>
      </x:c>
      <x:c r="S171" s="18" t="n">
        <x:f>IF(F171="BUY",-H171,IF(F171="SELL",-G171*R171,0))</x:f>
        <x:v>-608.1800000000001</x:v>
      </x:c>
      <x:c r="T171" s="18" t="n">
        <x:f>IF(F171="SELL",IF(G171&gt;P171+0.000001,"REVIEW",H171-G171*R171),0)</x:f>
        <x:v>33.51999999999998</x:v>
      </x:c>
      <x:c r="U171" s="17" t="n">
        <x:f>P171+O171</x:f>
        <x:v>0</x:v>
      </x:c>
      <x:c r="V171" s="18" t="n">
        <x:f>Q171+S171</x:f>
        <x:v>0</x:v>
      </x:c>
      <x:c r="W171" s="18" t="n">
        <x:f>IF(F171="DIV",H171,0)</x:f>
        <x:v>0</x:v>
      </x:c>
      <x:c r="X171" s="18" t="n">
        <x:f>IF(F171="CONT",H171,0)</x:f>
        <x:v>0</x:v>
      </x:c>
      <x:c r="Y171" s="2" t="str">
        <x:f>TEXT(C171,"yyyy-mm")</x:f>
        <x:v>2025-02</x:v>
      </x:c>
      <x:c r="Z171" s="2" t="str">
        <x:f>IF(OR(AND(F171="STKREORG",N171&lt;&gt;"Applied 4-for-1 CDR split"),AND(F171="SELL",G171&gt;P171+0.000001)),"REVIEW","OK")</x:f>
        <x:v>OK</x:v>
      </x:c>
    </x:row>
    <x:row r="172" ht="21" customHeight="1">
      <x:c r="A172" s="2"/>
      <x:c r="B172" s="2" t="str">
        <x:v>8b62630f6ddb16166975</x:v>
      </x:c>
      <x:c r="C172" s="16" t="d">
        <x:v>2025-02-27T00:00:00.000Z</x:v>
      </x:c>
      <x:c r="D172" s="16" t="d">
        <x:v>2025-02-26T00:00:00.000Z</x:v>
      </x:c>
      <x:c r="E172" s="2" t="str">
        <x:v>ENB_ORD</x:v>
      </x:c>
      <x:c r="F172" s="2" t="str">
        <x:v>SELL</x:v>
      </x:c>
      <x:c r="G172" s="17" t="n">
        <x:v>4</x:v>
      </x:c>
      <x:c r="H172" s="18" t="n">
        <x:v>238.8</x:v>
      </x:c>
      <x:c r="I172" s="18" t="str">
        <x:v>CAD</x:v>
      </x:c>
      <x:c r="J172" s="18" t="n">
        <x:v>17312.83</x:v>
      </x:c>
      <x:c r="K172" s="2" t="str">
        <x:v>TFSA-monthly-statement-transactions-DEMO_CAD-2025-02-01.csv</x:v>
      </x:c>
      <x:c r="L172" s="2" t="n">
        <x:v>29</x:v>
      </x:c>
      <x:c r="M172" s="2" t="str">
        <x:v>ENB - Enbridge Inc: Sold 4.0000 shares (executed at 2025-02-26)</x:v>
      </x:c>
      <x:c r="N172" s="2" t="str">
        <x:v>Imported</x:v>
      </x:c>
      <x:c r="O172" s="17" t="n">
        <x:f>IF(F172="BUY",G172,IF(F172="SELL",-G172,IF(AND(F172="STKREORG",N172="Applied 4-for-1 CDR split"),G172,0)))</x:f>
        <x:v>-4</x:v>
      </x:c>
      <x:c r="P172" s="17" t="n">
        <x:f>SUMIF($E$6:E171,E172,$O$6:O171)</x:f>
        <x:v>4</x:v>
      </x:c>
      <x:c r="Q172" s="18" t="n">
        <x:f>SUMIF($E$6:E171,E172,$S$6:S171)</x:f>
        <x:v>245.26000000000002</x:v>
      </x:c>
      <x:c r="R172" s="18" t="n">
        <x:f>IF(P172&gt;0,Q172/P172,0)</x:f>
        <x:v>61.315000000000005</x:v>
      </x:c>
      <x:c r="S172" s="18" t="n">
        <x:f>IF(F172="BUY",-H172,IF(F172="SELL",-G172*R172,0))</x:f>
        <x:v>-245.26000000000002</x:v>
      </x:c>
      <x:c r="T172" s="18" t="n">
        <x:f>IF(F172="SELL",IF(G172&gt;P172+0.000001,"REVIEW",H172-G172*R172),0)</x:f>
        <x:v>-6.460000000000008</x:v>
      </x:c>
      <x:c r="U172" s="17" t="n">
        <x:f>P172+O172</x:f>
        <x:v>0</x:v>
      </x:c>
      <x:c r="V172" s="18" t="n">
        <x:f>Q172+S172</x:f>
        <x:v>0</x:v>
      </x:c>
      <x:c r="W172" s="18" t="n">
        <x:f>IF(F172="DIV",H172,0)</x:f>
        <x:v>0</x:v>
      </x:c>
      <x:c r="X172" s="18" t="n">
        <x:f>IF(F172="CONT",H172,0)</x:f>
        <x:v>0</x:v>
      </x:c>
      <x:c r="Y172" s="2" t="str">
        <x:f>TEXT(C172,"yyyy-mm")</x:f>
        <x:v>2025-02</x:v>
      </x:c>
      <x:c r="Z172" s="2" t="str">
        <x:f>IF(OR(AND(F172="STKREORG",N172&lt;&gt;"Applied 4-for-1 CDR split"),AND(F172="SELL",G172&gt;P172+0.000001)),"REVIEW","OK")</x:f>
        <x:v>OK</x:v>
      </x:c>
    </x:row>
    <x:row r="173" ht="21" customHeight="1">
      <x:c r="A173" s="2"/>
      <x:c r="B173" s="2" t="str">
        <x:v>c01888ef15dbd054083b</x:v>
      </x:c>
      <x:c r="C173" s="16" t="d">
        <x:v>2025-02-27T00:00:00.000Z</x:v>
      </x:c>
      <x:c r="D173" s="16" t="d">
        <x:v>2025-02-26T00:00:00.000Z</x:v>
      </x:c>
      <x:c r="E173" s="2" t="str">
        <x:v>CPX_ORD</x:v>
      </x:c>
      <x:c r="F173" s="2" t="str">
        <x:v>SELL</x:v>
      </x:c>
      <x:c r="G173" s="17" t="n">
        <x:v>9</x:v>
      </x:c>
      <x:c r="H173" s="18" t="n">
        <x:v>479.25</x:v>
      </x:c>
      <x:c r="I173" s="18" t="str">
        <x:v>CAD</x:v>
      </x:c>
      <x:c r="J173" s="18" t="n">
        <x:v>17792.08</x:v>
      </x:c>
      <x:c r="K173" s="2" t="str">
        <x:v>TFSA-monthly-statement-transactions-DEMO_CAD-2025-02-01.csv</x:v>
      </x:c>
      <x:c r="L173" s="2" t="n">
        <x:v>30</x:v>
      </x:c>
      <x:c r="M173" s="2" t="str">
        <x:v>CPX - Capital Power Corp: Sold 9.0000 shares (executed at 2025-02-26)</x:v>
      </x:c>
      <x:c r="N173" s="2" t="str">
        <x:v>Imported</x:v>
      </x:c>
      <x:c r="O173" s="17" t="n">
        <x:f>IF(F173="BUY",G173,IF(F173="SELL",-G173,IF(AND(F173="STKREORG",N173="Applied 4-for-1 CDR split"),G173,0)))</x:f>
        <x:v>-9</x:v>
      </x:c>
      <x:c r="P173" s="17" t="n">
        <x:f>SUMIF($E$6:E172,E173,$O$6:O172)</x:f>
        <x:v>9</x:v>
      </x:c>
      <x:c r="Q173" s="18" t="n">
        <x:f>SUMIF($E$6:E172,E173,$S$6:S172)</x:f>
        <x:v>555.62</x:v>
      </x:c>
      <x:c r="R173" s="18" t="n">
        <x:f>IF(P173&gt;0,Q173/P173,0)</x:f>
        <x:v>61.73555555555556</x:v>
      </x:c>
      <x:c r="S173" s="18" t="n">
        <x:f>IF(F173="BUY",-H173,IF(F173="SELL",-G173*R173,0))</x:f>
        <x:v>-555.62</x:v>
      </x:c>
      <x:c r="T173" s="18" t="n">
        <x:f>IF(F173="SELL",IF(G173&gt;P173+0.000001,"REVIEW",H173-G173*R173),0)</x:f>
        <x:v>-76.37</x:v>
      </x:c>
      <x:c r="U173" s="17" t="n">
        <x:f>P173+O173</x:f>
        <x:v>0</x:v>
      </x:c>
      <x:c r="V173" s="18" t="n">
        <x:f>Q173+S173</x:f>
        <x:v>0</x:v>
      </x:c>
      <x:c r="W173" s="18" t="n">
        <x:f>IF(F173="DIV",H173,0)</x:f>
        <x:v>0</x:v>
      </x:c>
      <x:c r="X173" s="18" t="n">
        <x:f>IF(F173="CONT",H173,0)</x:f>
        <x:v>0</x:v>
      </x:c>
      <x:c r="Y173" s="2" t="str">
        <x:f>TEXT(C173,"yyyy-mm")</x:f>
        <x:v>2025-02</x:v>
      </x:c>
      <x:c r="Z173" s="2" t="str">
        <x:f>IF(OR(AND(F173="STKREORG",N173&lt;&gt;"Applied 4-for-1 CDR split"),AND(F173="SELL",G173&gt;P173+0.000001)),"REVIEW","OK")</x:f>
        <x:v>OK</x:v>
      </x:c>
    </x:row>
    <x:row r="174" ht="21" customHeight="1">
      <x:c r="A174" s="2"/>
      <x:c r="B174" s="2" t="str">
        <x:v>166b1087de7729844e25</x:v>
      </x:c>
      <x:c r="C174" s="16" t="d">
        <x:v>2025-02-28T00:00:00.000Z</x:v>
      </x:c>
      <x:c r="D174" s="16" t="d">
        <x:v>2025-02-27T00:00:00.000Z</x:v>
      </x:c>
      <x:c r="E174" s="2" t="str">
        <x:v>NVDA_CDR</x:v>
      </x:c>
      <x:c r="F174" s="2" t="str">
        <x:v>BUY</x:v>
      </x:c>
      <x:c r="G174" s="17" t="n">
        <x:v>5</x:v>
      </x:c>
      <x:c r="H174" s="18" t="n">
        <x:v>-147.1</x:v>
      </x:c>
      <x:c r="I174" s="18" t="str">
        <x:v>CAD</x:v>
      </x:c>
      <x:c r="J174" s="18" t="n">
        <x:v>17644.98</x:v>
      </x:c>
      <x:c r="K174" s="2" t="str">
        <x:v>TFSA-monthly-statement-transactions-DEMO_CAD-2025-02-01.csv</x:v>
      </x:c>
      <x:c r="L174" s="2" t="n">
        <x:v>31</x:v>
      </x:c>
      <x:c r="M174" s="2" t="str">
        <x:v>NVDA - Nvidia Corp: Bought 5.0000 shares (executed at 2025-02-27)</x:v>
      </x:c>
      <x:c r="N174" s="2" t="str">
        <x:v>Imported</x:v>
      </x:c>
      <x:c r="O174" s="17" t="n">
        <x:f>IF(F174="BUY",G174,IF(F174="SELL",-G174,IF(AND(F174="STKREORG",N174="Applied 4-for-1 CDR split"),G174,0)))</x:f>
        <x:v>5</x:v>
      </x:c>
      <x:c r="P174" s="17" t="n">
        <x:f>SUMIF($E$6:E173,E174,$O$6:O173)</x:f>
        <x:v>0</x:v>
      </x:c>
      <x:c r="Q174" s="18" t="n">
        <x:f>SUMIF($E$6:E173,E174,$S$6:S173)</x:f>
        <x:v>0</x:v>
      </x:c>
      <x:c r="R174" s="18" t="n">
        <x:f>IF(P174&gt;0,Q174/P174,0)</x:f>
        <x:v>0</x:v>
      </x:c>
      <x:c r="S174" s="18" t="n">
        <x:f>IF(F174="BUY",-H174,IF(F174="SELL",-G174*R174,0))</x:f>
        <x:v>147.1</x:v>
      </x:c>
      <x:c r="T174" s="18" t="n">
        <x:f>IF(F174="SELL",IF(G174&gt;P174+0.000001,"REVIEW",H174-G174*R174),0)</x:f>
        <x:v>0</x:v>
      </x:c>
      <x:c r="U174" s="17" t="n">
        <x:f>P174+O174</x:f>
        <x:v>5</x:v>
      </x:c>
      <x:c r="V174" s="18" t="n">
        <x:f>Q174+S174</x:f>
        <x:v>147.1</x:v>
      </x:c>
      <x:c r="W174" s="18" t="n">
        <x:f>IF(F174="DIV",H174,0)</x:f>
        <x:v>0</x:v>
      </x:c>
      <x:c r="X174" s="18" t="n">
        <x:f>IF(F174="CONT",H174,0)</x:f>
        <x:v>0</x:v>
      </x:c>
      <x:c r="Y174" s="2" t="str">
        <x:f>TEXT(C174,"yyyy-mm")</x:f>
        <x:v>2025-02</x:v>
      </x:c>
      <x:c r="Z174" s="2" t="str">
        <x:f>IF(OR(AND(F174="STKREORG",N174&lt;&gt;"Applied 4-for-1 CDR split"),AND(F174="SELL",G174&gt;P174+0.000001)),"REVIEW","OK")</x:f>
        <x:v>OK</x:v>
      </x:c>
    </x:row>
    <x:row r="175" ht="21" customHeight="1">
      <x:c r="A175" s="2"/>
      <x:c r="B175" s="2" t="str">
        <x:v>fd3162547c9d25b52ed7</x:v>
      </x:c>
      <x:c r="C175" s="16" t="d">
        <x:v>2025-02-28T00:00:00.000Z</x:v>
      </x:c>
      <x:c r="D175" s="16" t="d">
        <x:v>2025-02-27T00:00:00.000Z</x:v>
      </x:c>
      <x:c r="E175" s="2" t="str">
        <x:v>GOOG_CDR</x:v>
      </x:c>
      <x:c r="F175" s="2" t="str">
        <x:v>BUY</x:v>
      </x:c>
      <x:c r="G175" s="17" t="n">
        <x:v>5</x:v>
      </x:c>
      <x:c r="H175" s="18" t="n">
        <x:v>-142.55</x:v>
      </x:c>
      <x:c r="I175" s="18" t="str">
        <x:v>CAD</x:v>
      </x:c>
      <x:c r="J175" s="18" t="n">
        <x:v>17502.43</x:v>
      </x:c>
      <x:c r="K175" s="2" t="str">
        <x:v>TFSA-monthly-statement-transactions-DEMO_CAD-2025-02-01.csv</x:v>
      </x:c>
      <x:c r="L175" s="2" t="n">
        <x:v>32</x:v>
      </x:c>
      <x:c r="M175" s="2" t="str">
        <x:v>GOOG - Alphabet CDR (CAD Hedged) : Bought 5.0000 shares (executed at 2025-02-27)</x:v>
      </x:c>
      <x:c r="N175" s="2" t="str">
        <x:v>Imported</x:v>
      </x:c>
      <x:c r="O175" s="17" t="n">
        <x:f>IF(F175="BUY",G175,IF(F175="SELL",-G175,IF(AND(F175="STKREORG",N175="Applied 4-for-1 CDR split"),G175,0)))</x:f>
        <x:v>5</x:v>
      </x:c>
      <x:c r="P175" s="17" t="n">
        <x:f>SUMIF($E$6:E174,E175,$O$6:O174)</x:f>
        <x:v>0</x:v>
      </x:c>
      <x:c r="Q175" s="18" t="n">
        <x:f>SUMIF($E$6:E174,E175,$S$6:S174)</x:f>
        <x:v>0</x:v>
      </x:c>
      <x:c r="R175" s="18" t="n">
        <x:f>IF(P175&gt;0,Q175/P175,0)</x:f>
        <x:v>0</x:v>
      </x:c>
      <x:c r="S175" s="18" t="n">
        <x:f>IF(F175="BUY",-H175,IF(F175="SELL",-G175*R175,0))</x:f>
        <x:v>142.55</x:v>
      </x:c>
      <x:c r="T175" s="18" t="n">
        <x:f>IF(F175="SELL",IF(G175&gt;P175+0.000001,"REVIEW",H175-G175*R175),0)</x:f>
        <x:v>0</x:v>
      </x:c>
      <x:c r="U175" s="17" t="n">
        <x:f>P175+O175</x:f>
        <x:v>5</x:v>
      </x:c>
      <x:c r="V175" s="18" t="n">
        <x:f>Q175+S175</x:f>
        <x:v>142.55</x:v>
      </x:c>
      <x:c r="W175" s="18" t="n">
        <x:f>IF(F175="DIV",H175,0)</x:f>
        <x:v>0</x:v>
      </x:c>
      <x:c r="X175" s="18" t="n">
        <x:f>IF(F175="CONT",H175,0)</x:f>
        <x:v>0</x:v>
      </x:c>
      <x:c r="Y175" s="2" t="str">
        <x:f>TEXT(C175,"yyyy-mm")</x:f>
        <x:v>2025-02</x:v>
      </x:c>
      <x:c r="Z175" s="2" t="str">
        <x:f>IF(OR(AND(F175="STKREORG",N175&lt;&gt;"Applied 4-for-1 CDR split"),AND(F175="SELL",G175&gt;P175+0.000001)),"REVIEW","OK")</x:f>
        <x:v>OK</x:v>
      </x:c>
    </x:row>
    <x:row r="176" ht="21" customHeight="1">
      <x:c r="A176" s="2"/>
      <x:c r="B176" s="2" t="str">
        <x:v>260f1fc1790dc5f623ba</x:v>
      </x:c>
      <x:c r="C176" s="16" t="d">
        <x:v>2025-02-28T00:00:00.000Z</x:v>
      </x:c>
      <x:c r="D176" s="16" t="d">
        <x:v>2025-02-27T00:00:00.000Z</x:v>
      </x:c>
      <x:c r="E176" s="2" t="str">
        <x:v>RY_ORD</x:v>
      </x:c>
      <x:c r="F176" s="2" t="str">
        <x:v>BUY</x:v>
      </x:c>
      <x:c r="G176" s="17" t="n">
        <x:v>2</x:v>
      </x:c>
      <x:c r="H176" s="18" t="n">
        <x:v>-331.9</x:v>
      </x:c>
      <x:c r="I176" s="18" t="str">
        <x:v>CAD</x:v>
      </x:c>
      <x:c r="J176" s="18" t="n">
        <x:v>17170.53</x:v>
      </x:c>
      <x:c r="K176" s="2" t="str">
        <x:v>TFSA-monthly-statement-transactions-DEMO_CAD-2025-02-01.csv</x:v>
      </x:c>
      <x:c r="L176" s="2" t="n">
        <x:v>33</x:v>
      </x:c>
      <x:c r="M176" s="2" t="str">
        <x:v>RY - Royal Bank Of Canada: Bought 2.0000 shares (executed at 2025-02-27)</x:v>
      </x:c>
      <x:c r="N176" s="2" t="str">
        <x:v>Imported</x:v>
      </x:c>
      <x:c r="O176" s="17" t="n">
        <x:f>IF(F176="BUY",G176,IF(F176="SELL",-G176,IF(AND(F176="STKREORG",N176="Applied 4-for-1 CDR split"),G176,0)))</x:f>
        <x:v>2</x:v>
      </x:c>
      <x:c r="P176" s="17" t="n">
        <x:f>SUMIF($E$6:E175,E176,$O$6:O175)</x:f>
        <x:v>0</x:v>
      </x:c>
      <x:c r="Q176" s="18" t="n">
        <x:f>SUMIF($E$6:E175,E176,$S$6:S175)</x:f>
        <x:v>0</x:v>
      </x:c>
      <x:c r="R176" s="18" t="n">
        <x:f>IF(P176&gt;0,Q176/P176,0)</x:f>
        <x:v>0</x:v>
      </x:c>
      <x:c r="S176" s="18" t="n">
        <x:f>IF(F176="BUY",-H176,IF(F176="SELL",-G176*R176,0))</x:f>
        <x:v>331.9</x:v>
      </x:c>
      <x:c r="T176" s="18" t="n">
        <x:f>IF(F176="SELL",IF(G176&gt;P176+0.000001,"REVIEW",H176-G176*R176),0)</x:f>
        <x:v>0</x:v>
      </x:c>
      <x:c r="U176" s="17" t="n">
        <x:f>P176+O176</x:f>
        <x:v>2</x:v>
      </x:c>
      <x:c r="V176" s="18" t="n">
        <x:f>Q176+S176</x:f>
        <x:v>331.9</x:v>
      </x:c>
      <x:c r="W176" s="18" t="n">
        <x:f>IF(F176="DIV",H176,0)</x:f>
        <x:v>0</x:v>
      </x:c>
      <x:c r="X176" s="18" t="n">
        <x:f>IF(F176="CONT",H176,0)</x:f>
        <x:v>0</x:v>
      </x:c>
      <x:c r="Y176" s="2" t="str">
        <x:f>TEXT(C176,"yyyy-mm")</x:f>
        <x:v>2025-02</x:v>
      </x:c>
      <x:c r="Z176" s="2" t="str">
        <x:f>IF(OR(AND(F176="STKREORG",N176&lt;&gt;"Applied 4-for-1 CDR split"),AND(F176="SELL",G176&gt;P176+0.000001)),"REVIEW","OK")</x:f>
        <x:v>OK</x:v>
      </x:c>
    </x:row>
    <x:row r="177" ht="21" customHeight="1">
      <x:c r="A177" s="2"/>
      <x:c r="B177" s="2" t="str">
        <x:v>46af9ecd137548f7f9a8</x:v>
      </x:c>
      <x:c r="C177" s="16" t="d">
        <x:v>2025-02-28T00:00:00.000Z</x:v>
      </x:c>
      <x:c r="D177" s="16" t="d">
        <x:v>2025-02-27T00:00:00.000Z</x:v>
      </x:c>
      <x:c r="E177" s="2" t="str">
        <x:v>FINN_ORD</x:v>
      </x:c>
      <x:c r="F177" s="2" t="str">
        <x:v>BUY</x:v>
      </x:c>
      <x:c r="G177" s="17" t="n">
        <x:v>50</x:v>
      </x:c>
      <x:c r="H177" s="18" t="n">
        <x:v>-944</x:v>
      </x:c>
      <x:c r="I177" s="18" t="str">
        <x:v>CAD</x:v>
      </x:c>
      <x:c r="J177" s="18" t="n">
        <x:v>16226.53</x:v>
      </x:c>
      <x:c r="K177" s="2" t="str">
        <x:v>TFSA-monthly-statement-transactions-DEMO_CAD-2025-02-01.csv</x:v>
      </x:c>
      <x:c r="L177" s="2" t="n">
        <x:v>34</x:v>
      </x:c>
      <x:c r="M177" s="2" t="str">
        <x:v>FINN - Fidelity Global Innovators ETF - Series L: Bought 50.0000 shares (executed at 2025-02-27)</x:v>
      </x:c>
      <x:c r="N177" s="2" t="str">
        <x:v>Imported</x:v>
      </x:c>
      <x:c r="O177" s="17" t="n">
        <x:f>IF(F177="BUY",G177,IF(F177="SELL",-G177,IF(AND(F177="STKREORG",N177="Applied 4-for-1 CDR split"),G177,0)))</x:f>
        <x:v>50</x:v>
      </x:c>
      <x:c r="P177" s="17" t="n">
        <x:f>SUMIF($E$6:E176,E177,$O$6:O176)</x:f>
        <x:v>0</x:v>
      </x:c>
      <x:c r="Q177" s="18" t="n">
        <x:f>SUMIF($E$6:E176,E177,$S$6:S176)</x:f>
        <x:v>0</x:v>
      </x:c>
      <x:c r="R177" s="18" t="n">
        <x:f>IF(P177&gt;0,Q177/P177,0)</x:f>
        <x:v>0</x:v>
      </x:c>
      <x:c r="S177" s="18" t="n">
        <x:f>IF(F177="BUY",-H177,IF(F177="SELL",-G177*R177,0))</x:f>
        <x:v>944</x:v>
      </x:c>
      <x:c r="T177" s="18" t="n">
        <x:f>IF(F177="SELL",IF(G177&gt;P177+0.000001,"REVIEW",H177-G177*R177),0)</x:f>
        <x:v>0</x:v>
      </x:c>
      <x:c r="U177" s="17" t="n">
        <x:f>P177+O177</x:f>
        <x:v>50</x:v>
      </x:c>
      <x:c r="V177" s="18" t="n">
        <x:f>Q177+S177</x:f>
        <x:v>944</x:v>
      </x:c>
      <x:c r="W177" s="18" t="n">
        <x:f>IF(F177="DIV",H177,0)</x:f>
        <x:v>0</x:v>
      </x:c>
      <x:c r="X177" s="18" t="n">
        <x:f>IF(F177="CONT",H177,0)</x:f>
        <x:v>0</x:v>
      </x:c>
      <x:c r="Y177" s="2" t="str">
        <x:f>TEXT(C177,"yyyy-mm")</x:f>
        <x:v>2025-02</x:v>
      </x:c>
      <x:c r="Z177" s="2" t="str">
        <x:f>IF(OR(AND(F177="STKREORG",N177&lt;&gt;"Applied 4-for-1 CDR split"),AND(F177="SELL",G177&gt;P177+0.000001)),"REVIEW","OK")</x:f>
        <x:v>OK</x:v>
      </x:c>
    </x:row>
    <x:row r="178" ht="21" customHeight="1">
      <x:c r="A178" s="2"/>
      <x:c r="B178" s="2" t="str">
        <x:v>e445836cd39250663f04</x:v>
      </x:c>
      <x:c r="C178" s="16" t="d">
        <x:v>2025-02-28T00:00:00.000Z</x:v>
      </x:c>
      <x:c r="D178" s="16" t="d">
        <x:v>2025-02-27T00:00:00.000Z</x:v>
      </x:c>
      <x:c r="E178" s="2" t="str">
        <x:v>VFV_ORD</x:v>
      </x:c>
      <x:c r="F178" s="2" t="str">
        <x:v>BUY</x:v>
      </x:c>
      <x:c r="G178" s="17" t="n">
        <x:v>2</x:v>
      </x:c>
      <x:c r="H178" s="18" t="n">
        <x:v>-304.68</x:v>
      </x:c>
      <x:c r="I178" s="18" t="str">
        <x:v>CAD</x:v>
      </x:c>
      <x:c r="J178" s="18" t="n">
        <x:v>15921.85</x:v>
      </x:c>
      <x:c r="K178" s="2" t="str">
        <x:v>TFSA-monthly-statement-transactions-DEMO_CAD-2025-02-01.csv</x:v>
      </x:c>
      <x:c r="L178" s="2" t="n">
        <x:v>35</x:v>
      </x:c>
      <x:c r="M178" s="2" t="str">
        <x:v>VFV - Vanguard S&amp;P 500 Index ETF: Bought 2.0000 shares (executed at 2025-02-27)</x:v>
      </x:c>
      <x:c r="N178" s="2" t="str">
        <x:v>Imported</x:v>
      </x:c>
      <x:c r="O178" s="17" t="n">
        <x:f>IF(F178="BUY",G178,IF(F178="SELL",-G178,IF(AND(F178="STKREORG",N178="Applied 4-for-1 CDR split"),G178,0)))</x:f>
        <x:v>2</x:v>
      </x:c>
      <x:c r="P178" s="17" t="n">
        <x:f>SUMIF($E$6:E177,E178,$O$6:O177)</x:f>
        <x:v>0.030999999999998806</x:v>
      </x:c>
      <x:c r="Q178" s="18" t="n">
        <x:f>SUMIF($E$6:E177,E178,$S$6:S177)</x:f>
        <x:v>4.5399917356953665</x:v>
      </x:c>
      <x:c r="R178" s="18" t="n">
        <x:f>IF(P178&gt;0,Q178/P178,0)</x:f>
        <x:v>146.4513463127594</x:v>
      </x:c>
      <x:c r="S178" s="18" t="n">
        <x:f>IF(F178="BUY",-H178,IF(F178="SELL",-G178*R178,0))</x:f>
        <x:v>304.68</x:v>
      </x:c>
      <x:c r="T178" s="18" t="n">
        <x:f>IF(F178="SELL",IF(G178&gt;P178+0.000001,"REVIEW",H178-G178*R178),0)</x:f>
        <x:v>0</x:v>
      </x:c>
      <x:c r="U178" s="17" t="n">
        <x:f>P178+O178</x:f>
        <x:v>2.030999999999999</x:v>
      </x:c>
      <x:c r="V178" s="18" t="n">
        <x:f>Q178+S178</x:f>
        <x:v>309.2199917356954</x:v>
      </x:c>
      <x:c r="W178" s="18" t="n">
        <x:f>IF(F178="DIV",H178,0)</x:f>
        <x:v>0</x:v>
      </x:c>
      <x:c r="X178" s="18" t="n">
        <x:f>IF(F178="CONT",H178,0)</x:f>
        <x:v>0</x:v>
      </x:c>
      <x:c r="Y178" s="2" t="str">
        <x:f>TEXT(C178,"yyyy-mm")</x:f>
        <x:v>2025-02</x:v>
      </x:c>
      <x:c r="Z178" s="2" t="str">
        <x:f>IF(OR(AND(F178="STKREORG",N178&lt;&gt;"Applied 4-for-1 CDR split"),AND(F178="SELL",G178&gt;P178+0.000001)),"REVIEW","OK")</x:f>
        <x:v>OK</x:v>
      </x:c>
    </x:row>
    <x:row r="179" ht="21" customHeight="1">
      <x:c r="A179" s="2"/>
      <x:c r="B179" s="2" t="str">
        <x:v>2cc3a85726b127512cbd</x:v>
      </x:c>
      <x:c r="C179" s="16" t="d">
        <x:v>2025-02-28T00:00:00.000Z</x:v>
      </x:c>
      <x:c r="D179" s="16" t="d">
        <x:v>2025-02-27T00:00:00.000Z</x:v>
      </x:c>
      <x:c r="E179" s="2" t="str">
        <x:v>VFV_ORD</x:v>
      </x:c>
      <x:c r="F179" s="2" t="str">
        <x:v>BUY</x:v>
      </x:c>
      <x:c r="G179" s="17" t="n">
        <x:v>20</x:v>
      </x:c>
      <x:c r="H179" s="18" t="n">
        <x:v>-3026.8</x:v>
      </x:c>
      <x:c r="I179" s="18" t="str">
        <x:v>CAD</x:v>
      </x:c>
      <x:c r="J179" s="18" t="n">
        <x:v>12895.05</x:v>
      </x:c>
      <x:c r="K179" s="2" t="str">
        <x:v>TFSA-monthly-statement-transactions-DEMO_CAD-2025-02-01.csv</x:v>
      </x:c>
      <x:c r="L179" s="2" t="n">
        <x:v>36</x:v>
      </x:c>
      <x:c r="M179" s="2" t="str">
        <x:v>VFV - Vanguard S&amp;P 500 Index ETF: Bought 20.0000 shares (executed at 2025-02-27)</x:v>
      </x:c>
      <x:c r="N179" s="2" t="str">
        <x:v>Imported</x:v>
      </x:c>
      <x:c r="O179" s="17" t="n">
        <x:f>IF(F179="BUY",G179,IF(F179="SELL",-G179,IF(AND(F179="STKREORG",N179="Applied 4-for-1 CDR split"),G179,0)))</x:f>
        <x:v>20</x:v>
      </x:c>
      <x:c r="P179" s="17" t="n">
        <x:f>SUMIF($E$6:E178,E179,$O$6:O178)</x:f>
        <x:v>2.030999999999999</x:v>
      </x:c>
      <x:c r="Q179" s="18" t="n">
        <x:f>SUMIF($E$6:E178,E179,$S$6:S178)</x:f>
        <x:v>309.2199917356954</x:v>
      </x:c>
      <x:c r="R179" s="18" t="n">
        <x:f>IF(P179&gt;0,Q179/P179,0)</x:f>
        <x:v>152.2501190229914</x:v>
      </x:c>
      <x:c r="S179" s="18" t="n">
        <x:f>IF(F179="BUY",-H179,IF(F179="SELL",-G179*R179,0))</x:f>
        <x:v>3026.8</x:v>
      </x:c>
      <x:c r="T179" s="18" t="n">
        <x:f>IF(F179="SELL",IF(G179&gt;P179+0.000001,"REVIEW",H179-G179*R179),0)</x:f>
        <x:v>0</x:v>
      </x:c>
      <x:c r="U179" s="17" t="n">
        <x:f>P179+O179</x:f>
        <x:v>22.031</x:v>
      </x:c>
      <x:c r="V179" s="18" t="n">
        <x:f>Q179+S179</x:f>
        <x:v>3336.0199917356954</x:v>
      </x:c>
      <x:c r="W179" s="18" t="n">
        <x:f>IF(F179="DIV",H179,0)</x:f>
        <x:v>0</x:v>
      </x:c>
      <x:c r="X179" s="18" t="n">
        <x:f>IF(F179="CONT",H179,0)</x:f>
        <x:v>0</x:v>
      </x:c>
      <x:c r="Y179" s="2" t="str">
        <x:f>TEXT(C179,"yyyy-mm")</x:f>
        <x:v>2025-02</x:v>
      </x:c>
      <x:c r="Z179" s="2" t="str">
        <x:f>IF(OR(AND(F179="STKREORG",N179&lt;&gt;"Applied 4-for-1 CDR split"),AND(F179="SELL",G179&gt;P179+0.000001)),"REVIEW","OK")</x:f>
        <x:v>OK</x:v>
      </x:c>
    </x:row>
    <x:row r="180" ht="21" customHeight="1">
      <x:c r="A180" s="2"/>
      <x:c r="B180" s="2" t="str">
        <x:v>983c4e05ce43abd166a4</x:v>
      </x:c>
      <x:c r="C180" s="16" t="d">
        <x:v>2025-02-28T00:00:00.000Z</x:v>
      </x:c>
      <x:c r="D180" s="16" t="d">
        <x:v>2025-02-27T00:00:00.000Z</x:v>
      </x:c>
      <x:c r="E180" s="2" t="str">
        <x:v>NVDA_CDR</x:v>
      </x:c>
      <x:c r="F180" s="2" t="str">
        <x:v>BUY</x:v>
      </x:c>
      <x:c r="G180" s="17" t="n">
        <x:v>5</x:v>
      </x:c>
      <x:c r="H180" s="18" t="n">
        <x:v>-142.95</x:v>
      </x:c>
      <x:c r="I180" s="18" t="str">
        <x:v>CAD</x:v>
      </x:c>
      <x:c r="J180" s="18" t="n">
        <x:v>12752.1</x:v>
      </x:c>
      <x:c r="K180" s="2" t="str">
        <x:v>TFSA-monthly-statement-transactions-DEMO_CAD-2025-02-01.csv</x:v>
      </x:c>
      <x:c r="L180" s="2" t="n">
        <x:v>37</x:v>
      </x:c>
      <x:c r="M180" s="2" t="str">
        <x:v>NVDA - Nvidia Corp: Bought 5.0000 shares (executed at 2025-02-27)</x:v>
      </x:c>
      <x:c r="N180" s="2" t="str">
        <x:v>Imported</x:v>
      </x:c>
      <x:c r="O180" s="17" t="n">
        <x:f>IF(F180="BUY",G180,IF(F180="SELL",-G180,IF(AND(F180="STKREORG",N180="Applied 4-for-1 CDR split"),G180,0)))</x:f>
        <x:v>5</x:v>
      </x:c>
      <x:c r="P180" s="17" t="n">
        <x:f>SUMIF($E$6:E179,E180,$O$6:O179)</x:f>
        <x:v>5</x:v>
      </x:c>
      <x:c r="Q180" s="18" t="n">
        <x:f>SUMIF($E$6:E179,E180,$S$6:S179)</x:f>
        <x:v>147.1</x:v>
      </x:c>
      <x:c r="R180" s="18" t="n">
        <x:f>IF(P180&gt;0,Q180/P180,0)</x:f>
        <x:v>29.419999999999998</x:v>
      </x:c>
      <x:c r="S180" s="18" t="n">
        <x:f>IF(F180="BUY",-H180,IF(F180="SELL",-G180*R180,0))</x:f>
        <x:v>142.95</x:v>
      </x:c>
      <x:c r="T180" s="18" t="n">
        <x:f>IF(F180="SELL",IF(G180&gt;P180+0.000001,"REVIEW",H180-G180*R180),0)</x:f>
        <x:v>0</x:v>
      </x:c>
      <x:c r="U180" s="17" t="n">
        <x:f>P180+O180</x:f>
        <x:v>10</x:v>
      </x:c>
      <x:c r="V180" s="18" t="n">
        <x:f>Q180+S180</x:f>
        <x:v>290.04999999999995</x:v>
      </x:c>
      <x:c r="W180" s="18" t="n">
        <x:f>IF(F180="DIV",H180,0)</x:f>
        <x:v>0</x:v>
      </x:c>
      <x:c r="X180" s="18" t="n">
        <x:f>IF(F180="CONT",H180,0)</x:f>
        <x:v>0</x:v>
      </x:c>
      <x:c r="Y180" s="2" t="str">
        <x:f>TEXT(C180,"yyyy-mm")</x:f>
        <x:v>2025-02</x:v>
      </x:c>
      <x:c r="Z180" s="2" t="str">
        <x:f>IF(OR(AND(F180="STKREORG",N180&lt;&gt;"Applied 4-for-1 CDR split"),AND(F180="SELL",G180&gt;P180+0.000001)),"REVIEW","OK")</x:f>
        <x:v>OK</x:v>
      </x:c>
    </x:row>
    <x:row r="181" ht="21" customHeight="1">
      <x:c r="A181" s="2"/>
      <x:c r="B181" s="2" t="str">
        <x:v>ad996a422f2d92b314bb</x:v>
      </x:c>
      <x:c r="C181" s="16" t="d">
        <x:v>2025-02-28T00:00:00.000Z</x:v>
      </x:c>
      <x:c r="D181" s="16" t="d">
        <x:v>2025-02-27T00:00:00.000Z</x:v>
      </x:c>
      <x:c r="E181" s="2" t="str">
        <x:v>XEQT_ORD</x:v>
      </x:c>
      <x:c r="F181" s="2" t="str">
        <x:v>BUY</x:v>
      </x:c>
      <x:c r="G181" s="17" t="n">
        <x:v>100</x:v>
      </x:c>
      <x:c r="H181" s="18" t="n">
        <x:v>-3466.5</x:v>
      </x:c>
      <x:c r="I181" s="18" t="str">
        <x:v>CAD</x:v>
      </x:c>
      <x:c r="J181" s="18" t="n">
        <x:v>9285.6</x:v>
      </x:c>
      <x:c r="K181" s="2" t="str">
        <x:v>TFSA-monthly-statement-transactions-DEMO_CAD-2025-02-01.csv</x:v>
      </x:c>
      <x:c r="L181" s="2" t="n">
        <x:v>38</x:v>
      </x:c>
      <x:c r="M181" s="2" t="str">
        <x:v>XEQT - iShares Core Equity ETF Portfolio: Bought 100.0000 shares (executed at 2025-02-27)</x:v>
      </x:c>
      <x:c r="N181" s="2" t="str">
        <x:v>Imported</x:v>
      </x:c>
      <x:c r="O181" s="17" t="n">
        <x:f>IF(F181="BUY",G181,IF(F181="SELL",-G181,IF(AND(F181="STKREORG",N181="Applied 4-for-1 CDR split"),G181,0)))</x:f>
        <x:v>100</x:v>
      </x:c>
      <x:c r="P181" s="17" t="n">
        <x:f>SUMIF($E$6:E180,E181,$O$6:O180)</x:f>
        <x:v>0.6174000000000035</x:v>
      </x:c>
      <x:c r="Q181" s="18" t="n">
        <x:f>SUMIF($E$6:E180,E181,$S$6:S180)</x:f>
        <x:v>19.954644929883216</x:v>
      </x:c>
      <x:c r="R181" s="18" t="n">
        <x:f>IF(P181&gt;0,Q181/P181,0)</x:f>
        <x:v>32.32044854208471</x:v>
      </x:c>
      <x:c r="S181" s="18" t="n">
        <x:f>IF(F181="BUY",-H181,IF(F181="SELL",-G181*R181,0))</x:f>
        <x:v>3466.5</x:v>
      </x:c>
      <x:c r="T181" s="18" t="n">
        <x:f>IF(F181="SELL",IF(G181&gt;P181+0.000001,"REVIEW",H181-G181*R181),0)</x:f>
        <x:v>0</x:v>
      </x:c>
      <x:c r="U181" s="17" t="n">
        <x:f>P181+O181</x:f>
        <x:v>100.6174</x:v>
      </x:c>
      <x:c r="V181" s="18" t="n">
        <x:f>Q181+S181</x:f>
        <x:v>3486.454644929883</x:v>
      </x:c>
      <x:c r="W181" s="18" t="n">
        <x:f>IF(F181="DIV",H181,0)</x:f>
        <x:v>0</x:v>
      </x:c>
      <x:c r="X181" s="18" t="n">
        <x:f>IF(F181="CONT",H181,0)</x:f>
        <x:v>0</x:v>
      </x:c>
      <x:c r="Y181" s="2" t="str">
        <x:f>TEXT(C181,"yyyy-mm")</x:f>
        <x:v>2025-02</x:v>
      </x:c>
      <x:c r="Z181" s="2" t="str">
        <x:f>IF(OR(AND(F181="STKREORG",N181&lt;&gt;"Applied 4-for-1 CDR split"),AND(F181="SELL",G181&gt;P181+0.000001)),"REVIEW","OK")</x:f>
        <x:v>OK</x:v>
      </x:c>
    </x:row>
    <x:row r="182" ht="21" customHeight="1">
      <x:c r="A182" s="2"/>
      <x:c r="B182" s="2" t="str">
        <x:v>f2ccd8c9dd81f1071487</x:v>
      </x:c>
      <x:c r="C182" s="16" t="d">
        <x:v>2025-02-28T00:00:00.000Z</x:v>
      </x:c>
      <x:c r="D182" s="16" t="d">
        <x:v>2025-02-27T00:00:00.000Z</x:v>
      </x:c>
      <x:c r="E182" s="2" t="str">
        <x:v>TEC_ORD</x:v>
      </x:c>
      <x:c r="F182" s="2" t="str">
        <x:v>BUY</x:v>
      </x:c>
      <x:c r="G182" s="17" t="n">
        <x:v>20</x:v>
      </x:c>
      <x:c r="H182" s="18" t="n">
        <x:v>-892.8</x:v>
      </x:c>
      <x:c r="I182" s="18" t="str">
        <x:v>CAD</x:v>
      </x:c>
      <x:c r="J182" s="18" t="n">
        <x:v>8392.8</x:v>
      </x:c>
      <x:c r="K182" s="2" t="str">
        <x:v>TFSA-monthly-statement-transactions-DEMO_CAD-2025-02-01.csv</x:v>
      </x:c>
      <x:c r="L182" s="2" t="n">
        <x:v>39</x:v>
      </x:c>
      <x:c r="M182" s="2" t="str">
        <x:v>TEC - TD Global Tech Leaders Index ETF: Bought 20.0000 shares (executed at 2025-02-27)</x:v>
      </x:c>
      <x:c r="N182" s="2" t="str">
        <x:v>Imported</x:v>
      </x:c>
      <x:c r="O182" s="17" t="n">
        <x:f>IF(F182="BUY",G182,IF(F182="SELL",-G182,IF(AND(F182="STKREORG",N182="Applied 4-for-1 CDR split"),G182,0)))</x:f>
        <x:v>20</x:v>
      </x:c>
      <x:c r="P182" s="17" t="n">
        <x:f>SUMIF($E$6:E181,E182,$O$6:O181)</x:f>
        <x:v>0</x:v>
      </x:c>
      <x:c r="Q182" s="18" t="n">
        <x:f>SUMIF($E$6:E181,E182,$S$6:S181)</x:f>
        <x:v>0</x:v>
      </x:c>
      <x:c r="R182" s="18" t="n">
        <x:f>IF(P182&gt;0,Q182/P182,0)</x:f>
        <x:v>0</x:v>
      </x:c>
      <x:c r="S182" s="18" t="n">
        <x:f>IF(F182="BUY",-H182,IF(F182="SELL",-G182*R182,0))</x:f>
        <x:v>892.8</x:v>
      </x:c>
      <x:c r="T182" s="18" t="n">
        <x:f>IF(F182="SELL",IF(G182&gt;P182+0.000001,"REVIEW",H182-G182*R182),0)</x:f>
        <x:v>0</x:v>
      </x:c>
      <x:c r="U182" s="17" t="n">
        <x:f>P182+O182</x:f>
        <x:v>20</x:v>
      </x:c>
      <x:c r="V182" s="18" t="n">
        <x:f>Q182+S182</x:f>
        <x:v>892.8</x:v>
      </x:c>
      <x:c r="W182" s="18" t="n">
        <x:f>IF(F182="DIV",H182,0)</x:f>
        <x:v>0</x:v>
      </x:c>
      <x:c r="X182" s="18" t="n">
        <x:f>IF(F182="CONT",H182,0)</x:f>
        <x:v>0</x:v>
      </x:c>
      <x:c r="Y182" s="2" t="str">
        <x:f>TEXT(C182,"yyyy-mm")</x:f>
        <x:v>2025-02</x:v>
      </x:c>
      <x:c r="Z182" s="2" t="str">
        <x:f>IF(OR(AND(F182="STKREORG",N182&lt;&gt;"Applied 4-for-1 CDR split"),AND(F182="SELL",G182&gt;P182+0.000001)),"REVIEW","OK")</x:f>
        <x:v>OK</x:v>
      </x:c>
    </x:row>
    <x:row r="183" ht="21" customHeight="1">
      <x:c r="A183" s="2"/>
      <x:c r="B183" s="2" t="str">
        <x:v>64e762d009d33799aa11</x:v>
      </x:c>
      <x:c r="C183" s="16" t="d">
        <x:v>2025-02-28T00:00:00.000Z</x:v>
      </x:c>
      <x:c r="D183" s="16" t="d">
        <x:v>2025-02-27T00:00:00.000Z</x:v>
      </x:c>
      <x:c r="E183" s="2" t="str">
        <x:v>VFV_ORD</x:v>
      </x:c>
      <x:c r="F183" s="2" t="str">
        <x:v>BUY</x:v>
      </x:c>
      <x:c r="G183" s="17" t="n">
        <x:v>10</x:v>
      </x:c>
      <x:c r="H183" s="18" t="n">
        <x:v>-1510.9</x:v>
      </x:c>
      <x:c r="I183" s="18" t="str">
        <x:v>CAD</x:v>
      </x:c>
      <x:c r="J183" s="18" t="n">
        <x:v>6881.9</x:v>
      </x:c>
      <x:c r="K183" s="2" t="str">
        <x:v>TFSA-monthly-statement-transactions-DEMO_CAD-2025-02-01.csv</x:v>
      </x:c>
      <x:c r="L183" s="2" t="n">
        <x:v>40</x:v>
      </x:c>
      <x:c r="M183" s="2" t="str">
        <x:v>VFV - Vanguard S&amp;P 500 Index ETF: Bought 10.0000 shares (executed at 2025-02-27)</x:v>
      </x:c>
      <x:c r="N183" s="2" t="str">
        <x:v>Imported</x:v>
      </x:c>
      <x:c r="O183" s="17" t="n">
        <x:f>IF(F183="BUY",G183,IF(F183="SELL",-G183,IF(AND(F183="STKREORG",N183="Applied 4-for-1 CDR split"),G183,0)))</x:f>
        <x:v>10</x:v>
      </x:c>
      <x:c r="P183" s="17" t="n">
        <x:f>SUMIF($E$6:E182,E183,$O$6:O182)</x:f>
        <x:v>22.031</x:v>
      </x:c>
      <x:c r="Q183" s="18" t="n">
        <x:f>SUMIF($E$6:E182,E183,$S$6:S182)</x:f>
        <x:v>3336.0199917356954</x:v>
      </x:c>
      <x:c r="R183" s="18" t="n">
        <x:f>IF(P183&gt;0,Q183/P183,0)</x:f>
        <x:v>151.42390230746201</x:v>
      </x:c>
      <x:c r="S183" s="18" t="n">
        <x:f>IF(F183="BUY",-H183,IF(F183="SELL",-G183*R183,0))</x:f>
        <x:v>1510.9</x:v>
      </x:c>
      <x:c r="T183" s="18" t="n">
        <x:f>IF(F183="SELL",IF(G183&gt;P183+0.000001,"REVIEW",H183-G183*R183),0)</x:f>
        <x:v>0</x:v>
      </x:c>
      <x:c r="U183" s="17" t="n">
        <x:f>P183+O183</x:f>
        <x:v>32.031</x:v>
      </x:c>
      <x:c r="V183" s="18" t="n">
        <x:f>Q183+S183</x:f>
        <x:v>4846.9199917356955</x:v>
      </x:c>
      <x:c r="W183" s="18" t="n">
        <x:f>IF(F183="DIV",H183,0)</x:f>
        <x:v>0</x:v>
      </x:c>
      <x:c r="X183" s="18" t="n">
        <x:f>IF(F183="CONT",H183,0)</x:f>
        <x:v>0</x:v>
      </x:c>
      <x:c r="Y183" s="2" t="str">
        <x:f>TEXT(C183,"yyyy-mm")</x:f>
        <x:v>2025-02</x:v>
      </x:c>
      <x:c r="Z183" s="2" t="str">
        <x:f>IF(OR(AND(F183="STKREORG",N183&lt;&gt;"Applied 4-for-1 CDR split"),AND(F183="SELL",G183&gt;P183+0.000001)),"REVIEW","OK")</x:f>
        <x:v>OK</x:v>
      </x:c>
    </x:row>
    <x:row r="184" ht="21" customHeight="1">
      <x:c r="A184" s="2"/>
      <x:c r="B184" s="2" t="str">
        <x:v>bb67f08f15ba2d918555</x:v>
      </x:c>
      <x:c r="C184" s="16" t="d">
        <x:v>2025-03-04T00:00:00.000Z</x:v>
      </x:c>
      <x:c r="D184" s="16" t="d">
        <x:v>2025-03-03T00:00:00.000Z</x:v>
      </x:c>
      <x:c r="E184" s="2" t="str">
        <x:v>VFV_ORD</x:v>
      </x:c>
      <x:c r="F184" s="2" t="str">
        <x:v>BUY</x:v>
      </x:c>
      <x:c r="G184" s="17" t="n">
        <x:v>5</x:v>
      </x:c>
      <x:c r="H184" s="18" t="n">
        <x:v>-756.6</x:v>
      </x:c>
      <x:c r="I184" s="18" t="str">
        <x:v>CAD</x:v>
      </x:c>
      <x:c r="J184" s="18" t="n">
        <x:v>6125.3</x:v>
      </x:c>
      <x:c r="K184" s="2" t="str">
        <x:v>TFSA-monthly-statement-transactions-DEMO_CAD-2025-03-01.csv</x:v>
      </x:c>
      <x:c r="L184" s="2" t="n">
        <x:v>2</x:v>
      </x:c>
      <x:c r="M184" s="2" t="str">
        <x:v>VFV - Vanguard S&amp;P 500 Index ETF: Bought 5.0000 shares (executed at 2025-03-03)</x:v>
      </x:c>
      <x:c r="N184" s="2" t="str">
        <x:v>Imported</x:v>
      </x:c>
      <x:c r="O184" s="17" t="n">
        <x:f>IF(F184="BUY",G184,IF(F184="SELL",-G184,IF(AND(F184="STKREORG",N184="Applied 4-for-1 CDR split"),G184,0)))</x:f>
        <x:v>5</x:v>
      </x:c>
      <x:c r="P184" s="17" t="n">
        <x:f>SUMIF($E$6:E183,E184,$O$6:O183)</x:f>
        <x:v>32.031</x:v>
      </x:c>
      <x:c r="Q184" s="18" t="n">
        <x:f>SUMIF($E$6:E183,E184,$S$6:S183)</x:f>
        <x:v>4846.9199917356955</x:v>
      </x:c>
      <x:c r="R184" s="18" t="n">
        <x:f>IF(P184&gt;0,Q184/P184,0)</x:f>
        <x:v>151.31965882225643</x:v>
      </x:c>
      <x:c r="S184" s="18" t="n">
        <x:f>IF(F184="BUY",-H184,IF(F184="SELL",-G184*R184,0))</x:f>
        <x:v>756.6</x:v>
      </x:c>
      <x:c r="T184" s="18" t="n">
        <x:f>IF(F184="SELL",IF(G184&gt;P184+0.000001,"REVIEW",H184-G184*R184),0)</x:f>
        <x:v>0</x:v>
      </x:c>
      <x:c r="U184" s="17" t="n">
        <x:f>P184+O184</x:f>
        <x:v>37.031</x:v>
      </x:c>
      <x:c r="V184" s="18" t="n">
        <x:f>Q184+S184</x:f>
        <x:v>5603.519991735696</x:v>
      </x:c>
      <x:c r="W184" s="18" t="n">
        <x:f>IF(F184="DIV",H184,0)</x:f>
        <x:v>0</x:v>
      </x:c>
      <x:c r="X184" s="18" t="n">
        <x:f>IF(F184="CONT",H184,0)</x:f>
        <x:v>0</x:v>
      </x:c>
      <x:c r="Y184" s="2" t="str">
        <x:f>TEXT(C184,"yyyy-mm")</x:f>
        <x:v>2025-03</x:v>
      </x:c>
      <x:c r="Z184" s="2" t="str">
        <x:f>IF(OR(AND(F184="STKREORG",N184&lt;&gt;"Applied 4-for-1 CDR split"),AND(F184="SELL",G184&gt;P184+0.000001)),"REVIEW","OK")</x:f>
        <x:v>OK</x:v>
      </x:c>
    </x:row>
    <x:row r="185" ht="21" customHeight="1">
      <x:c r="A185" s="2"/>
      <x:c r="B185" s="2" t="str">
        <x:v>d26392afb53e76f0ddd9</x:v>
      </x:c>
      <x:c r="C185" s="16" t="d">
        <x:v>2025-03-04T00:00:00.000Z</x:v>
      </x:c>
      <x:c r="D185" s="16" t="d">
        <x:v>2025-03-03T00:00:00.000Z</x:v>
      </x:c>
      <x:c r="E185" s="2" t="str">
        <x:v>ZMMK_ORD</x:v>
      </x:c>
      <x:c r="F185" s="2" t="str">
        <x:v>BUY</x:v>
      </x:c>
      <x:c r="G185" s="17" t="n">
        <x:v>121</x:v>
      </x:c>
      <x:c r="H185" s="18" t="n">
        <x:v>-6041.03</x:v>
      </x:c>
      <x:c r="I185" s="18" t="str">
        <x:v>CAD</x:v>
      </x:c>
      <x:c r="J185" s="18" t="n">
        <x:v>84.27</x:v>
      </x:c>
      <x:c r="K185" s="2" t="str">
        <x:v>TFSA-monthly-statement-transactions-DEMO_CAD-2025-03-01.csv</x:v>
      </x:c>
      <x:c r="L185" s="2" t="n">
        <x:v>3</x:v>
      </x:c>
      <x:c r="M185" s="2" t="str">
        <x:v>ZMMK - BMO Money Market Fund ETF: Bought 121.0000 shares (executed at 2025-03-03)</x:v>
      </x:c>
      <x:c r="N185" s="2" t="str">
        <x:v>Imported</x:v>
      </x:c>
      <x:c r="O185" s="17" t="n">
        <x:f>IF(F185="BUY",G185,IF(F185="SELL",-G185,IF(AND(F185="STKREORG",N185="Applied 4-for-1 CDR split"),G185,0)))</x:f>
        <x:v>121</x:v>
      </x:c>
      <x:c r="P185" s="17" t="n">
        <x:f>SUMIF($E$6:E184,E185,$O$6:O184)</x:f>
        <x:v>0</x:v>
      </x:c>
      <x:c r="Q185" s="18" t="n">
        <x:f>SUMIF($E$6:E184,E185,$S$6:S184)</x:f>
        <x:v>0</x:v>
      </x:c>
      <x:c r="R185" s="18" t="n">
        <x:f>IF(P185&gt;0,Q185/P185,0)</x:f>
        <x:v>0</x:v>
      </x:c>
      <x:c r="S185" s="18" t="n">
        <x:f>IF(F185="BUY",-H185,IF(F185="SELL",-G185*R185,0))</x:f>
        <x:v>6041.03</x:v>
      </x:c>
      <x:c r="T185" s="18" t="n">
        <x:f>IF(F185="SELL",IF(G185&gt;P185+0.000001,"REVIEW",H185-G185*R185),0)</x:f>
        <x:v>0</x:v>
      </x:c>
      <x:c r="U185" s="17" t="n">
        <x:f>P185+O185</x:f>
        <x:v>121</x:v>
      </x:c>
      <x:c r="V185" s="18" t="n">
        <x:f>Q185+S185</x:f>
        <x:v>6041.03</x:v>
      </x:c>
      <x:c r="W185" s="18" t="n">
        <x:f>IF(F185="DIV",H185,0)</x:f>
        <x:v>0</x:v>
      </x:c>
      <x:c r="X185" s="18" t="n">
        <x:f>IF(F185="CONT",H185,0)</x:f>
        <x:v>0</x:v>
      </x:c>
      <x:c r="Y185" s="2" t="str">
        <x:f>TEXT(C185,"yyyy-mm")</x:f>
        <x:v>2025-03</x:v>
      </x:c>
      <x:c r="Z185" s="2" t="str">
        <x:f>IF(OR(AND(F185="STKREORG",N185&lt;&gt;"Applied 4-for-1 CDR split"),AND(F185="SELL",G185&gt;P185+0.000001)),"REVIEW","OK")</x:f>
        <x:v>OK</x:v>
      </x:c>
    </x:row>
    <x:row r="186" ht="21" customHeight="1">
      <x:c r="A186" s="2"/>
      <x:c r="B186" s="2" t="str">
        <x:v>c7ff80e2e84dbc9dcae5</x:v>
      </x:c>
      <x:c r="C186" s="16" t="d">
        <x:v>2025-03-07T00:00:00.000Z</x:v>
      </x:c>
      <x:c r="D186" s="16" t="d">
        <x:v>2025-03-06T00:00:00.000Z</x:v>
      </x:c>
      <x:c r="E186" s="2" t="str">
        <x:v>ZMMK_ORD</x:v>
      </x:c>
      <x:c r="F186" s="2" t="str">
        <x:v>BUY</x:v>
      </x:c>
      <x:c r="G186" s="17" t="n">
        <x:v>4</x:v>
      </x:c>
      <x:c r="H186" s="18" t="n">
        <x:v>-199.76</x:v>
      </x:c>
      <x:c r="I186" s="18" t="str">
        <x:v>CAD</x:v>
      </x:c>
      <x:c r="J186" s="18" t="n">
        <x:v>-115.49</x:v>
      </x:c>
      <x:c r="K186" s="2" t="str">
        <x:v>TFSA-monthly-statement-transactions-DEMO_CAD-2025-03-01.csv</x:v>
      </x:c>
      <x:c r="L186" s="2" t="n">
        <x:v>4</x:v>
      </x:c>
      <x:c r="M186" s="2" t="str">
        <x:v>ZMMK - BMO Money Market Fund ETF: Bought 4.0000 shares (executed at 2025-03-06)</x:v>
      </x:c>
      <x:c r="N186" s="2" t="str">
        <x:v>Imported</x:v>
      </x:c>
      <x:c r="O186" s="17" t="n">
        <x:f>IF(F186="BUY",G186,IF(F186="SELL",-G186,IF(AND(F186="STKREORG",N186="Applied 4-for-1 CDR split"),G186,0)))</x:f>
        <x:v>4</x:v>
      </x:c>
      <x:c r="P186" s="17" t="n">
        <x:f>SUMIF($E$6:E185,E186,$O$6:O185)</x:f>
        <x:v>121</x:v>
      </x:c>
      <x:c r="Q186" s="18" t="n">
        <x:f>SUMIF($E$6:E185,E186,$S$6:S185)</x:f>
        <x:v>6041.03</x:v>
      </x:c>
      <x:c r="R186" s="18" t="n">
        <x:f>IF(P186&gt;0,Q186/P186,0)</x:f>
        <x:v>49.92586776859504</x:v>
      </x:c>
      <x:c r="S186" s="18" t="n">
        <x:f>IF(F186="BUY",-H186,IF(F186="SELL",-G186*R186,0))</x:f>
        <x:v>199.76</x:v>
      </x:c>
      <x:c r="T186" s="18" t="n">
        <x:f>IF(F186="SELL",IF(G186&gt;P186+0.000001,"REVIEW",H186-G186*R186),0)</x:f>
        <x:v>0</x:v>
      </x:c>
      <x:c r="U186" s="17" t="n">
        <x:f>P186+O186</x:f>
        <x:v>125</x:v>
      </x:c>
      <x:c r="V186" s="18" t="n">
        <x:f>Q186+S186</x:f>
        <x:v>6240.79</x:v>
      </x:c>
      <x:c r="W186" s="18" t="n">
        <x:f>IF(F186="DIV",H186,0)</x:f>
        <x:v>0</x:v>
      </x:c>
      <x:c r="X186" s="18" t="n">
        <x:f>IF(F186="CONT",H186,0)</x:f>
        <x:v>0</x:v>
      </x:c>
      <x:c r="Y186" s="2" t="str">
        <x:f>TEXT(C186,"yyyy-mm")</x:f>
        <x:v>2025-03</x:v>
      </x:c>
      <x:c r="Z186" s="2" t="str">
        <x:f>IF(OR(AND(F186="STKREORG",N186&lt;&gt;"Applied 4-for-1 CDR split"),AND(F186="SELL",G186&gt;P186+0.000001)),"REVIEW","OK")</x:f>
        <x:v>OK</x:v>
      </x:c>
    </x:row>
    <x:row r="187" ht="21" customHeight="1">
      <x:c r="A187" s="2"/>
      <x:c r="B187" s="2" t="str">
        <x:v>1ed47f92a6416dea9817</x:v>
      </x:c>
      <x:c r="C187" s="16" t="d">
        <x:v>2025-03-07T00:00:00.000Z</x:v>
      </x:c>
      <x:c r="D187" s="16" t="d">
        <x:v>2025-03-06T00:00:00.000Z</x:v>
      </x:c>
      <x:c r="E187" s="2" t="str">
        <x:v>GOOG_CDR</x:v>
      </x:c>
      <x:c r="F187" s="2" t="str">
        <x:v>SELL</x:v>
      </x:c>
      <x:c r="G187" s="17" t="n">
        <x:v>5</x:v>
      </x:c>
      <x:c r="H187" s="18" t="n">
        <x:v>144.05</x:v>
      </x:c>
      <x:c r="I187" s="18" t="str">
        <x:v>CAD</x:v>
      </x:c>
      <x:c r="J187" s="18" t="n">
        <x:v>28.56</x:v>
      </x:c>
      <x:c r="K187" s="2" t="str">
        <x:v>TFSA-monthly-statement-transactions-DEMO_CAD-2025-03-01.csv</x:v>
      </x:c>
      <x:c r="L187" s="2" t="n">
        <x:v>5</x:v>
      </x:c>
      <x:c r="M187" s="2" t="str">
        <x:v>GOOG - Alphabet CDR (CAD Hedged) : Sold 5.0000 shares (executed at 2025-03-06)</x:v>
      </x:c>
      <x:c r="N187" s="2" t="str">
        <x:v>Imported</x:v>
      </x:c>
      <x:c r="O187" s="17" t="n">
        <x:f>IF(F187="BUY",G187,IF(F187="SELL",-G187,IF(AND(F187="STKREORG",N187="Applied 4-for-1 CDR split"),G187,0)))</x:f>
        <x:v>-5</x:v>
      </x:c>
      <x:c r="P187" s="17" t="n">
        <x:f>SUMIF($E$6:E186,E187,$O$6:O186)</x:f>
        <x:v>5</x:v>
      </x:c>
      <x:c r="Q187" s="18" t="n">
        <x:f>SUMIF($E$6:E186,E187,$S$6:S186)</x:f>
        <x:v>142.55</x:v>
      </x:c>
      <x:c r="R187" s="18" t="n">
        <x:f>IF(P187&gt;0,Q187/P187,0)</x:f>
        <x:v>28.51</x:v>
      </x:c>
      <x:c r="S187" s="18" t="n">
        <x:f>IF(F187="BUY",-H187,IF(F187="SELL",-G187*R187,0))</x:f>
        <x:v>-142.55</x:v>
      </x:c>
      <x:c r="T187" s="18" t="n">
        <x:f>IF(F187="SELL",IF(G187&gt;P187+0.000001,"REVIEW",H187-G187*R187),0)</x:f>
        <x:v>1.5</x:v>
      </x:c>
      <x:c r="U187" s="17" t="n">
        <x:f>P187+O187</x:f>
        <x:v>0</x:v>
      </x:c>
      <x:c r="V187" s="18" t="n">
        <x:f>Q187+S187</x:f>
        <x:v>0</x:v>
      </x:c>
      <x:c r="W187" s="18" t="n">
        <x:f>IF(F187="DIV",H187,0)</x:f>
        <x:v>0</x:v>
      </x:c>
      <x:c r="X187" s="18" t="n">
        <x:f>IF(F187="CONT",H187,0)</x:f>
        <x:v>0</x:v>
      </x:c>
      <x:c r="Y187" s="2" t="str">
        <x:f>TEXT(C187,"yyyy-mm")</x:f>
        <x:v>2025-03</x:v>
      </x:c>
      <x:c r="Z187" s="2" t="str">
        <x:f>IF(OR(AND(F187="STKREORG",N187&lt;&gt;"Applied 4-for-1 CDR split"),AND(F187="SELL",G187&gt;P187+0.000001)),"REVIEW","OK")</x:f>
        <x:v>OK</x:v>
      </x:c>
    </x:row>
    <x:row r="188" ht="21" customHeight="1">
      <x:c r="A188" s="2"/>
      <x:c r="B188" s="2" t="str">
        <x:v>03da208a96481471160a</x:v>
      </x:c>
      <x:c r="C188" s="16" t="d">
        <x:v>2025-03-11T00:00:00.000Z</x:v>
      </x:c>
      <x:c r="D188" s="16" t="d">
        <x:v>2025-03-11T00:00:00.000Z</x:v>
      </x:c>
      <x:c r="E188" s="2" t="str"/>
      <x:c r="F188" s="2" t="str">
        <x:v>CONT</x:v>
      </x:c>
      <x:c r="G188" s="17" t="n">
        <x:v>0</x:v>
      </x:c>
      <x:c r="H188" s="18" t="n">
        <x:v>500</x:v>
      </x:c>
      <x:c r="I188" s="18" t="str">
        <x:v>CAD</x:v>
      </x:c>
      <x:c r="J188" s="18" t="n">
        <x:v>528.56</x:v>
      </x:c>
      <x:c r="K188" s="2" t="str">
        <x:v>TFSA-monthly-statement-transactions-DEMO_CAD-2025-03-01.csv</x:v>
      </x:c>
      <x:c r="L188" s="2" t="n">
        <x:v>6</x:v>
      </x:c>
      <x:c r="M188" s="2" t="str">
        <x:v>Contribution (executed at 2025-03-11)</x:v>
      </x:c>
      <x:c r="N188" s="2" t="str">
        <x:v>Imported</x:v>
      </x:c>
      <x:c r="O188" s="17" t="n">
        <x:f>IF(F188="BUY",G188,IF(F188="SELL",-G188,IF(AND(F188="STKREORG",N188="Applied 4-for-1 CDR split"),G188,0)))</x:f>
        <x:v>0</x:v>
      </x:c>
      <x:c r="P188" s="17" t="n">
        <x:f>SUMIF($E$6:E187,E188,$O$6:O187)</x:f>
        <x:v>0</x:v>
      </x:c>
      <x:c r="Q188" s="18" t="n">
        <x:f>SUMIF($E$6:E187,E188,$S$6:S187)</x:f>
        <x:v>0</x:v>
      </x:c>
      <x:c r="R188" s="18" t="n">
        <x:f>IF(P188&gt;0,Q188/P188,0)</x:f>
        <x:v>0</x:v>
      </x:c>
      <x:c r="S188" s="18" t="n">
        <x:f>IF(F188="BUY",-H188,IF(F188="SELL",-G188*R188,0))</x:f>
        <x:v>0</x:v>
      </x:c>
      <x:c r="T188" s="18" t="n">
        <x:f>IF(F188="SELL",IF(G188&gt;P188+0.000001,"REVIEW",H188-G188*R188),0)</x:f>
        <x:v>0</x:v>
      </x:c>
      <x:c r="U188" s="17" t="n">
        <x:f>P188+O188</x:f>
        <x:v>0</x:v>
      </x:c>
      <x:c r="V188" s="18" t="n">
        <x:f>Q188+S188</x:f>
        <x:v>0</x:v>
      </x:c>
      <x:c r="W188" s="18" t="n">
        <x:f>IF(F188="DIV",H188,0)</x:f>
        <x:v>0</x:v>
      </x:c>
      <x:c r="X188" s="18" t="n">
        <x:f>IF(F188="CONT",H188,0)</x:f>
        <x:v>500</x:v>
      </x:c>
      <x:c r="Y188" s="2" t="str">
        <x:f>TEXT(C188,"yyyy-mm")</x:f>
        <x:v>2025-03</x:v>
      </x:c>
      <x:c r="Z188" s="2" t="str">
        <x:f>IF(OR(AND(F188="STKREORG",N188&lt;&gt;"Applied 4-for-1 CDR split"),AND(F188="SELL",G188&gt;P188+0.000001)),"REVIEW","OK")</x:f>
        <x:v>OK</x:v>
      </x:c>
    </x:row>
    <x:row r="189" ht="21" customHeight="1">
      <x:c r="A189" s="2"/>
      <x:c r="B189" s="2" t="str">
        <x:v>2546fea1d94e5688d9bf</x:v>
      </x:c>
      <x:c r="C189" s="16" t="d">
        <x:v>2025-03-12T00:00:00.000Z</x:v>
      </x:c>
      <x:c r="D189" s="16" t="d">
        <x:v>2025-03-11T00:00:00.000Z</x:v>
      </x:c>
      <x:c r="E189" s="2" t="str">
        <x:v>VFV_ORD</x:v>
      </x:c>
      <x:c r="F189" s="2" t="str">
        <x:v>BUY</x:v>
      </x:c>
      <x:c r="G189" s="17" t="n">
        <x:v>2</x:v>
      </x:c>
      <x:c r="H189" s="18" t="n">
        <x:v>-288</x:v>
      </x:c>
      <x:c r="I189" s="18" t="str">
        <x:v>CAD</x:v>
      </x:c>
      <x:c r="J189" s="18" t="n">
        <x:v>240.56</x:v>
      </x:c>
      <x:c r="K189" s="2" t="str">
        <x:v>TFSA-monthly-statement-transactions-DEMO_CAD-2025-03-01.csv</x:v>
      </x:c>
      <x:c r="L189" s="2" t="n">
        <x:v>7</x:v>
      </x:c>
      <x:c r="M189" s="2" t="str">
        <x:v>VFV - Vanguard S&amp;P 500 Index ETF: Bought 2.0000 shares (executed at 2025-03-11)</x:v>
      </x:c>
      <x:c r="N189" s="2" t="str">
        <x:v>Imported</x:v>
      </x:c>
      <x:c r="O189" s="17" t="n">
        <x:f>IF(F189="BUY",G189,IF(F189="SELL",-G189,IF(AND(F189="STKREORG",N189="Applied 4-for-1 CDR split"),G189,0)))</x:f>
        <x:v>2</x:v>
      </x:c>
      <x:c r="P189" s="17" t="n">
        <x:f>SUMIF($E$6:E188,E189,$O$6:O188)</x:f>
        <x:v>37.031</x:v>
      </x:c>
      <x:c r="Q189" s="18" t="n">
        <x:f>SUMIF($E$6:E188,E189,$S$6:S188)</x:f>
        <x:v>5603.519991735696</x:v>
      </x:c>
      <x:c r="R189" s="18" t="n">
        <x:f>IF(P189&gt;0,Q189/P189,0)</x:f>
        <x:v>151.31970488876067</x:v>
      </x:c>
      <x:c r="S189" s="18" t="n">
        <x:f>IF(F189="BUY",-H189,IF(F189="SELL",-G189*R189,0))</x:f>
        <x:v>288</x:v>
      </x:c>
      <x:c r="T189" s="18" t="n">
        <x:f>IF(F189="SELL",IF(G189&gt;P189+0.000001,"REVIEW",H189-G189*R189),0)</x:f>
        <x:v>0</x:v>
      </x:c>
      <x:c r="U189" s="17" t="n">
        <x:f>P189+O189</x:f>
        <x:v>39.031</x:v>
      </x:c>
      <x:c r="V189" s="18" t="n">
        <x:f>Q189+S189</x:f>
        <x:v>5891.519991735696</x:v>
      </x:c>
      <x:c r="W189" s="18" t="n">
        <x:f>IF(F189="DIV",H189,0)</x:f>
        <x:v>0</x:v>
      </x:c>
      <x:c r="X189" s="18" t="n">
        <x:f>IF(F189="CONT",H189,0)</x:f>
        <x:v>0</x:v>
      </x:c>
      <x:c r="Y189" s="2" t="str">
        <x:f>TEXT(C189,"yyyy-mm")</x:f>
        <x:v>2025-03</x:v>
      </x:c>
      <x:c r="Z189" s="2" t="str">
        <x:f>IF(OR(AND(F189="STKREORG",N189&lt;&gt;"Applied 4-for-1 CDR split"),AND(F189="SELL",G189&gt;P189+0.000001)),"REVIEW","OK")</x:f>
        <x:v>OK</x:v>
      </x:c>
    </x:row>
    <x:row r="190" ht="21" customHeight="1">
      <x:c r="A190" s="2"/>
      <x:c r="B190" s="2" t="str">
        <x:v>14fb39e31934d5660d61</x:v>
      </x:c>
      <x:c r="C190" s="16" t="d">
        <x:v>2025-03-12T00:00:00.000Z</x:v>
      </x:c>
      <x:c r="D190" s="16" t="d">
        <x:v>2025-03-11T00:00:00.000Z</x:v>
      </x:c>
      <x:c r="E190" s="2" t="str">
        <x:v>XEQT_ORD</x:v>
      </x:c>
      <x:c r="F190" s="2" t="str">
        <x:v>BUY</x:v>
      </x:c>
      <x:c r="G190" s="17" t="n">
        <x:v>2</x:v>
      </x:c>
      <x:c r="H190" s="18" t="n">
        <x:v>-67.42</x:v>
      </x:c>
      <x:c r="I190" s="18" t="str">
        <x:v>CAD</x:v>
      </x:c>
      <x:c r="J190" s="18" t="n">
        <x:v>173.14</x:v>
      </x:c>
      <x:c r="K190" s="2" t="str">
        <x:v>TFSA-monthly-statement-transactions-DEMO_CAD-2025-03-01.csv</x:v>
      </x:c>
      <x:c r="L190" s="2" t="n">
        <x:v>8</x:v>
      </x:c>
      <x:c r="M190" s="2" t="str">
        <x:v>XEQT - iShares Core Equity ETF Portfolio: Bought 2.0000 shares (executed at 2025-03-11)</x:v>
      </x:c>
      <x:c r="N190" s="2" t="str">
        <x:v>Imported</x:v>
      </x:c>
      <x:c r="O190" s="17" t="n">
        <x:f>IF(F190="BUY",G190,IF(F190="SELL",-G190,IF(AND(F190="STKREORG",N190="Applied 4-for-1 CDR split"),G190,0)))</x:f>
        <x:v>2</x:v>
      </x:c>
      <x:c r="P190" s="17" t="n">
        <x:f>SUMIF($E$6:E189,E190,$O$6:O189)</x:f>
        <x:v>100.6174</x:v>
      </x:c>
      <x:c r="Q190" s="18" t="n">
        <x:f>SUMIF($E$6:E189,E190,$S$6:S189)</x:f>
        <x:v>3486.454644929883</x:v>
      </x:c>
      <x:c r="R190" s="18" t="n">
        <x:f>IF(P190&gt;0,Q190/P190,0)</x:f>
        <x:v>34.65061356117216</x:v>
      </x:c>
      <x:c r="S190" s="18" t="n">
        <x:f>IF(F190="BUY",-H190,IF(F190="SELL",-G190*R190,0))</x:f>
        <x:v>67.42</x:v>
      </x:c>
      <x:c r="T190" s="18" t="n">
        <x:f>IF(F190="SELL",IF(G190&gt;P190+0.000001,"REVIEW",H190-G190*R190),0)</x:f>
        <x:v>0</x:v>
      </x:c>
      <x:c r="U190" s="17" t="n">
        <x:f>P190+O190</x:f>
        <x:v>102.6174</x:v>
      </x:c>
      <x:c r="V190" s="18" t="n">
        <x:f>Q190+S190</x:f>
        <x:v>3553.8746449298833</x:v>
      </x:c>
      <x:c r="W190" s="18" t="n">
        <x:f>IF(F190="DIV",H190,0)</x:f>
        <x:v>0</x:v>
      </x:c>
      <x:c r="X190" s="18" t="n">
        <x:f>IF(F190="CONT",H190,0)</x:f>
        <x:v>0</x:v>
      </x:c>
      <x:c r="Y190" s="2" t="str">
        <x:f>TEXT(C190,"yyyy-mm")</x:f>
        <x:v>2025-03</x:v>
      </x:c>
      <x:c r="Z190" s="2" t="str">
        <x:f>IF(OR(AND(F190="STKREORG",N190&lt;&gt;"Applied 4-for-1 CDR split"),AND(F190="SELL",G190&gt;P190+0.000001)),"REVIEW","OK")</x:f>
        <x:v>OK</x:v>
      </x:c>
    </x:row>
    <x:row r="191" ht="21" customHeight="1">
      <x:c r="A191" s="2"/>
      <x:c r="B191" s="2" t="str">
        <x:v>24f359fba74615cef694</x:v>
      </x:c>
      <x:c r="C191" s="16" t="d">
        <x:v>2025-03-12T00:00:00.000Z</x:v>
      </x:c>
      <x:c r="D191" s="16" t="d">
        <x:v>2025-03-11T00:00:00.000Z</x:v>
      </x:c>
      <x:c r="E191" s="2" t="str">
        <x:v>FINN_ORD</x:v>
      </x:c>
      <x:c r="F191" s="2" t="str">
        <x:v>BUY</x:v>
      </x:c>
      <x:c r="G191" s="17" t="n">
        <x:v>2</x:v>
      </x:c>
      <x:c r="H191" s="18" t="n">
        <x:v>-35.14</x:v>
      </x:c>
      <x:c r="I191" s="18" t="str">
        <x:v>CAD</x:v>
      </x:c>
      <x:c r="J191" s="18" t="n">
        <x:v>138</x:v>
      </x:c>
      <x:c r="K191" s="2" t="str">
        <x:v>TFSA-monthly-statement-transactions-DEMO_CAD-2025-03-01.csv</x:v>
      </x:c>
      <x:c r="L191" s="2" t="n">
        <x:v>9</x:v>
      </x:c>
      <x:c r="M191" s="2" t="str">
        <x:v>FINN - Fidelity Global Innovators ETF - Series L: Bought 2.0000 shares (executed at 2025-03-11)</x:v>
      </x:c>
      <x:c r="N191" s="2" t="str">
        <x:v>Imported</x:v>
      </x:c>
      <x:c r="O191" s="17" t="n">
        <x:f>IF(F191="BUY",G191,IF(F191="SELL",-G191,IF(AND(F191="STKREORG",N191="Applied 4-for-1 CDR split"),G191,0)))</x:f>
        <x:v>2</x:v>
      </x:c>
      <x:c r="P191" s="17" t="n">
        <x:f>SUMIF($E$6:E190,E191,$O$6:O190)</x:f>
        <x:v>50</x:v>
      </x:c>
      <x:c r="Q191" s="18" t="n">
        <x:f>SUMIF($E$6:E190,E191,$S$6:S190)</x:f>
        <x:v>944</x:v>
      </x:c>
      <x:c r="R191" s="18" t="n">
        <x:f>IF(P191&gt;0,Q191/P191,0)</x:f>
        <x:v>18.88</x:v>
      </x:c>
      <x:c r="S191" s="18" t="n">
        <x:f>IF(F191="BUY",-H191,IF(F191="SELL",-G191*R191,0))</x:f>
        <x:v>35.14</x:v>
      </x:c>
      <x:c r="T191" s="18" t="n">
        <x:f>IF(F191="SELL",IF(G191&gt;P191+0.000001,"REVIEW",H191-G191*R191),0)</x:f>
        <x:v>0</x:v>
      </x:c>
      <x:c r="U191" s="17" t="n">
        <x:f>P191+O191</x:f>
        <x:v>52</x:v>
      </x:c>
      <x:c r="V191" s="18" t="n">
        <x:f>Q191+S191</x:f>
        <x:v>979.14</x:v>
      </x:c>
      <x:c r="W191" s="18" t="n">
        <x:f>IF(F191="DIV",H191,0)</x:f>
        <x:v>0</x:v>
      </x:c>
      <x:c r="X191" s="18" t="n">
        <x:f>IF(F191="CONT",H191,0)</x:f>
        <x:v>0</x:v>
      </x:c>
      <x:c r="Y191" s="2" t="str">
        <x:f>TEXT(C191,"yyyy-mm")</x:f>
        <x:v>2025-03</x:v>
      </x:c>
      <x:c r="Z191" s="2" t="str">
        <x:f>IF(OR(AND(F191="STKREORG",N191&lt;&gt;"Applied 4-for-1 CDR split"),AND(F191="SELL",G191&gt;P191+0.000001)),"REVIEW","OK")</x:f>
        <x:v>OK</x:v>
      </x:c>
    </x:row>
    <x:row r="192" ht="21" customHeight="1">
      <x:c r="A192" s="2"/>
      <x:c r="B192" s="2" t="str">
        <x:v>28f36ae1b130faa4eeff</x:v>
      </x:c>
      <x:c r="C192" s="16" t="d">
        <x:v>2025-03-14T00:00:00.000Z</x:v>
      </x:c>
      <x:c r="D192" s="16" t="d">
        <x:v>2025-03-13T00:00:00.000Z</x:v>
      </x:c>
      <x:c r="E192" s="2" t="str">
        <x:v>XEQT_ORD</x:v>
      </x:c>
      <x:c r="F192" s="2" t="str">
        <x:v>BUY</x:v>
      </x:c>
      <x:c r="G192" s="17" t="n">
        <x:v>2</x:v>
      </x:c>
      <x:c r="H192" s="18" t="n">
        <x:v>-66.82</x:v>
      </x:c>
      <x:c r="I192" s="18" t="str">
        <x:v>CAD</x:v>
      </x:c>
      <x:c r="J192" s="18" t="n">
        <x:v>71.18</x:v>
      </x:c>
      <x:c r="K192" s="2" t="str">
        <x:v>TFSA-monthly-statement-transactions-DEMO_CAD-2025-03-01.csv</x:v>
      </x:c>
      <x:c r="L192" s="2" t="n">
        <x:v>10</x:v>
      </x:c>
      <x:c r="M192" s="2" t="str">
        <x:v>XEQT - iShares Core Equity ETF Portfolio: Bought 2.0000 shares (executed at 2025-03-13)</x:v>
      </x:c>
      <x:c r="N192" s="2" t="str">
        <x:v>Imported</x:v>
      </x:c>
      <x:c r="O192" s="17" t="n">
        <x:f>IF(F192="BUY",G192,IF(F192="SELL",-G192,IF(AND(F192="STKREORG",N192="Applied 4-for-1 CDR split"),G192,0)))</x:f>
        <x:v>2</x:v>
      </x:c>
      <x:c r="P192" s="17" t="n">
        <x:f>SUMIF($E$6:E191,E192,$O$6:O191)</x:f>
        <x:v>102.6174</x:v>
      </x:c>
      <x:c r="Q192" s="18" t="n">
        <x:f>SUMIF($E$6:E191,E192,$S$6:S191)</x:f>
        <x:v>3553.8746449298833</x:v>
      </x:c>
      <x:c r="R192" s="18" t="n">
        <x:f>IF(P192&gt;0,Q192/P192,0)</x:f>
        <x:v>34.6322811231807</x:v>
      </x:c>
      <x:c r="S192" s="18" t="n">
        <x:f>IF(F192="BUY",-H192,IF(F192="SELL",-G192*R192,0))</x:f>
        <x:v>66.82</x:v>
      </x:c>
      <x:c r="T192" s="18" t="n">
        <x:f>IF(F192="SELL",IF(G192&gt;P192+0.000001,"REVIEW",H192-G192*R192),0)</x:f>
        <x:v>0</x:v>
      </x:c>
      <x:c r="U192" s="17" t="n">
        <x:f>P192+O192</x:f>
        <x:v>104.6174</x:v>
      </x:c>
      <x:c r="V192" s="18" t="n">
        <x:f>Q192+S192</x:f>
        <x:v>3620.6946449298835</x:v>
      </x:c>
      <x:c r="W192" s="18" t="n">
        <x:f>IF(F192="DIV",H192,0)</x:f>
        <x:v>0</x:v>
      </x:c>
      <x:c r="X192" s="18" t="n">
        <x:f>IF(F192="CONT",H192,0)</x:f>
        <x:v>0</x:v>
      </x:c>
      <x:c r="Y192" s="2" t="str">
        <x:f>TEXT(C192,"yyyy-mm")</x:f>
        <x:v>2025-03</x:v>
      </x:c>
      <x:c r="Z192" s="2" t="str">
        <x:f>IF(OR(AND(F192="STKREORG",N192&lt;&gt;"Applied 4-for-1 CDR split"),AND(F192="SELL",G192&gt;P192+0.000001)),"REVIEW","OK")</x:f>
        <x:v>OK</x:v>
      </x:c>
    </x:row>
    <x:row r="193" ht="21" customHeight="1">
      <x:c r="A193" s="2"/>
      <x:c r="B193" s="2" t="str">
        <x:v>3faf6889db755a0b45c1</x:v>
      </x:c>
      <x:c r="C193" s="16" t="d">
        <x:v>2025-03-31T00:00:00.000Z</x:v>
      </x:c>
      <x:c r="D193" s="16" t="d">
        <x:v>2025-03-31T00:00:00.000Z</x:v>
      </x:c>
      <x:c r="E193" s="2" t="str">
        <x:v>XEQT_ORD</x:v>
      </x:c>
      <x:c r="F193" s="2" t="str">
        <x:v>DIV</x:v>
      </x:c>
      <x:c r="G193" s="17" t="n">
        <x:v>0</x:v>
      </x:c>
      <x:c r="H193" s="18" t="n">
        <x:v>9.42</x:v>
      </x:c>
      <x:c r="I193" s="18" t="str">
        <x:v>CAD</x:v>
      </x:c>
      <x:c r="J193" s="18" t="n">
        <x:v>80.6</x:v>
      </x:c>
      <x:c r="K193" s="2" t="str">
        <x:v>TFSA-monthly-statement-transactions-DEMO_CAD-2025-03-01.csv</x:v>
      </x:c>
      <x:c r="L193" s="2" t="n">
        <x:v>11</x:v>
      </x:c>
      <x:c r="M193" s="2" t="str">
        <x:v>XEQT - iShares Core Equity ETF Portfolio: Cash dividend distribution, received on 2025-03-31, record date of 2025-03-26</x:v>
      </x:c>
      <x:c r="N193" s="2" t="str">
        <x:v>Imported</x:v>
      </x:c>
      <x:c r="O193" s="17" t="n">
        <x:f>IF(F193="BUY",G193,IF(F193="SELL",-G193,IF(AND(F193="STKREORG",N193="Applied 4-for-1 CDR split"),G193,0)))</x:f>
        <x:v>0</x:v>
      </x:c>
      <x:c r="P193" s="17" t="n">
        <x:f>SUMIF($E$6:E192,E193,$O$6:O192)</x:f>
        <x:v>104.6174</x:v>
      </x:c>
      <x:c r="Q193" s="18" t="n">
        <x:f>SUMIF($E$6:E192,E193,$S$6:S192)</x:f>
        <x:v>3620.6946449298835</x:v>
      </x:c>
      <x:c r="R193" s="18" t="n">
        <x:f>IF(P193&gt;0,Q193/P193,0)</x:f>
        <x:v>34.60891443421346</x:v>
      </x:c>
      <x:c r="S193" s="18" t="n">
        <x:f>IF(F193="BUY",-H193,IF(F193="SELL",-G193*R193,0))</x:f>
        <x:v>0</x:v>
      </x:c>
      <x:c r="T193" s="18" t="n">
        <x:f>IF(F193="SELL",IF(G193&gt;P193+0.000001,"REVIEW",H193-G193*R193),0)</x:f>
        <x:v>0</x:v>
      </x:c>
      <x:c r="U193" s="17" t="n">
        <x:f>P193+O193</x:f>
        <x:v>104.6174</x:v>
      </x:c>
      <x:c r="V193" s="18" t="n">
        <x:f>Q193+S193</x:f>
        <x:v>3620.6946449298835</x:v>
      </x:c>
      <x:c r="W193" s="18" t="n">
        <x:f>IF(F193="DIV",H193,0)</x:f>
        <x:v>9.42</x:v>
      </x:c>
      <x:c r="X193" s="18" t="n">
        <x:f>IF(F193="CONT",H193,0)</x:f>
        <x:v>0</x:v>
      </x:c>
      <x:c r="Y193" s="2" t="str">
        <x:f>TEXT(C193,"yyyy-mm")</x:f>
        <x:v>2025-03</x:v>
      </x:c>
      <x:c r="Z193" s="2" t="str">
        <x:f>IF(OR(AND(F193="STKREORG",N193&lt;&gt;"Applied 4-for-1 CDR split"),AND(F193="SELL",G193&gt;P193+0.000001)),"REVIEW","OK")</x:f>
        <x:v>OK</x:v>
      </x:c>
    </x:row>
    <x:row r="194" ht="21" customHeight="1">
      <x:c r="A194" s="2"/>
      <x:c r="B194" s="2" t="str">
        <x:v>6320582bd8dbc1781ff1</x:v>
      </x:c>
      <x:c r="C194" s="16" t="d">
        <x:v>2025-04-02T00:00:00.000Z</x:v>
      </x:c>
      <x:c r="D194" s="16" t="d">
        <x:v>2025-04-02T00:00:00.000Z</x:v>
      </x:c>
      <x:c r="E194" s="2" t="str">
        <x:v>ZMMK_ORD</x:v>
      </x:c>
      <x:c r="F194" s="2" t="str">
        <x:v>DIV</x:v>
      </x:c>
      <x:c r="G194" s="17" t="n">
        <x:v>0</x:v>
      </x:c>
      <x:c r="H194" s="18" t="n">
        <x:v>18.75</x:v>
      </x:c>
      <x:c r="I194" s="18" t="str">
        <x:v>CAD</x:v>
      </x:c>
      <x:c r="J194" s="18" t="n">
        <x:v>99.35</x:v>
      </x:c>
      <x:c r="K194" s="2" t="str">
        <x:v>TFSA-monthly-statement-transactions-DEMO_CAD-2025-04-01.csv</x:v>
      </x:c>
      <x:c r="L194" s="2" t="n">
        <x:v>2</x:v>
      </x:c>
      <x:c r="M194" s="2" t="str">
        <x:v>ZMMK - BMO Money Market Fund ETF: Cash dividend distribution, received on 2025-04-02, record date of 2025-03-28</x:v>
      </x:c>
      <x:c r="N194" s="2" t="str">
        <x:v>Imported</x:v>
      </x:c>
      <x:c r="O194" s="17" t="n">
        <x:f>IF(F194="BUY",G194,IF(F194="SELL",-G194,IF(AND(F194="STKREORG",N194="Applied 4-for-1 CDR split"),G194,0)))</x:f>
        <x:v>0</x:v>
      </x:c>
      <x:c r="P194" s="17" t="n">
        <x:f>SUMIF($E$6:E193,E194,$O$6:O193)</x:f>
        <x:v>125</x:v>
      </x:c>
      <x:c r="Q194" s="18" t="n">
        <x:f>SUMIF($E$6:E193,E194,$S$6:S193)</x:f>
        <x:v>6240.79</x:v>
      </x:c>
      <x:c r="R194" s="18" t="n">
        <x:f>IF(P194&gt;0,Q194/P194,0)</x:f>
        <x:v>49.92632</x:v>
      </x:c>
      <x:c r="S194" s="18" t="n">
        <x:f>IF(F194="BUY",-H194,IF(F194="SELL",-G194*R194,0))</x:f>
        <x:v>0</x:v>
      </x:c>
      <x:c r="T194" s="18" t="n">
        <x:f>IF(F194="SELL",IF(G194&gt;P194+0.000001,"REVIEW",H194-G194*R194),0)</x:f>
        <x:v>0</x:v>
      </x:c>
      <x:c r="U194" s="17" t="n">
        <x:f>P194+O194</x:f>
        <x:v>125</x:v>
      </x:c>
      <x:c r="V194" s="18" t="n">
        <x:f>Q194+S194</x:f>
        <x:v>6240.79</x:v>
      </x:c>
      <x:c r="W194" s="18" t="n">
        <x:f>IF(F194="DIV",H194,0)</x:f>
        <x:v>18.75</x:v>
      </x:c>
      <x:c r="X194" s="18" t="n">
        <x:f>IF(F194="CONT",H194,0)</x:f>
        <x:v>0</x:v>
      </x:c>
      <x:c r="Y194" s="2" t="str">
        <x:f>TEXT(C194,"yyyy-mm")</x:f>
        <x:v>2025-04</x:v>
      </x:c>
      <x:c r="Z194" s="2" t="str">
        <x:f>IF(OR(AND(F194="STKREORG",N194&lt;&gt;"Applied 4-for-1 CDR split"),AND(F194="SELL",G194&gt;P194+0.000001)),"REVIEW","OK")</x:f>
        <x:v>OK</x:v>
      </x:c>
    </x:row>
    <x:row r="195" ht="21" customHeight="1">
      <x:c r="A195" s="2"/>
      <x:c r="B195" s="2" t="str">
        <x:v>55ea5c5a4f5c02cb602e</x:v>
      </x:c>
      <x:c r="C195" s="16" t="d">
        <x:v>2025-04-03T00:00:00.000Z</x:v>
      </x:c>
      <x:c r="D195" s="16" t="d">
        <x:v>2025-04-03T00:00:00.000Z</x:v>
      </x:c>
      <x:c r="E195" s="2" t="str"/>
      <x:c r="F195" s="2" t="str">
        <x:v>CONT</x:v>
      </x:c>
      <x:c r="G195" s="17" t="n">
        <x:v>0</x:v>
      </x:c>
      <x:c r="H195" s="18" t="n">
        <x:v>2000</x:v>
      </x:c>
      <x:c r="I195" s="18" t="str">
        <x:v>CAD</x:v>
      </x:c>
      <x:c r="J195" s="18" t="n">
        <x:v>2099.35</x:v>
      </x:c>
      <x:c r="K195" s="2" t="str">
        <x:v>TFSA-monthly-statement-transactions-DEMO_CAD-2025-04-01.csv</x:v>
      </x:c>
      <x:c r="L195" s="2" t="n">
        <x:v>3</x:v>
      </x:c>
      <x:c r="M195" s="2" t="str">
        <x:v>Contribution (executed at 2025-04-03)</x:v>
      </x:c>
      <x:c r="N195" s="2" t="str">
        <x:v>Imported</x:v>
      </x:c>
      <x:c r="O195" s="17" t="n">
        <x:f>IF(F195="BUY",G195,IF(F195="SELL",-G195,IF(AND(F195="STKREORG",N195="Applied 4-for-1 CDR split"),G195,0)))</x:f>
        <x:v>0</x:v>
      </x:c>
      <x:c r="P195" s="17" t="n">
        <x:f>SUMIF($E$6:E194,E195,$O$6:O194)</x:f>
        <x:v>0</x:v>
      </x:c>
      <x:c r="Q195" s="18" t="n">
        <x:f>SUMIF($E$6:E194,E195,$S$6:S194)</x:f>
        <x:v>0</x:v>
      </x:c>
      <x:c r="R195" s="18" t="n">
        <x:f>IF(P195&gt;0,Q195/P195,0)</x:f>
        <x:v>0</x:v>
      </x:c>
      <x:c r="S195" s="18" t="n">
        <x:f>IF(F195="BUY",-H195,IF(F195="SELL",-G195*R195,0))</x:f>
        <x:v>0</x:v>
      </x:c>
      <x:c r="T195" s="18" t="n">
        <x:f>IF(F195="SELL",IF(G195&gt;P195+0.000001,"REVIEW",H195-G195*R195),0)</x:f>
        <x:v>0</x:v>
      </x:c>
      <x:c r="U195" s="17" t="n">
        <x:f>P195+O195</x:f>
        <x:v>0</x:v>
      </x:c>
      <x:c r="V195" s="18" t="n">
        <x:f>Q195+S195</x:f>
        <x:v>0</x:v>
      </x:c>
      <x:c r="W195" s="18" t="n">
        <x:f>IF(F195="DIV",H195,0)</x:f>
        <x:v>0</x:v>
      </x:c>
      <x:c r="X195" s="18" t="n">
        <x:f>IF(F195="CONT",H195,0)</x:f>
        <x:v>2000</x:v>
      </x:c>
      <x:c r="Y195" s="2" t="str">
        <x:f>TEXT(C195,"yyyy-mm")</x:f>
        <x:v>2025-04</x:v>
      </x:c>
      <x:c r="Z195" s="2" t="str">
        <x:f>IF(OR(AND(F195="STKREORG",N195&lt;&gt;"Applied 4-for-1 CDR split"),AND(F195="SELL",G195&gt;P195+0.000001)),"REVIEW","OK")</x:f>
        <x:v>OK</x:v>
      </x:c>
    </x:row>
    <x:row r="196" ht="21" customHeight="1">
      <x:c r="A196" s="2"/>
      <x:c r="B196" s="2" t="str">
        <x:v>209ba472b87b5fcdd6c8</x:v>
      </x:c>
      <x:c r="C196" s="16" t="d">
        <x:v>2025-04-03T00:00:00.000Z</x:v>
      </x:c>
      <x:c r="D196" s="16" t="d">
        <x:v>2025-04-03T00:00:00.000Z</x:v>
      </x:c>
      <x:c r="E196" s="2" t="str">
        <x:v>VFV_ORD</x:v>
      </x:c>
      <x:c r="F196" s="2" t="str">
        <x:v>DIV</x:v>
      </x:c>
      <x:c r="G196" s="17" t="n">
        <x:v>0</x:v>
      </x:c>
      <x:c r="H196" s="18" t="n">
        <x:v>15.54</x:v>
      </x:c>
      <x:c r="I196" s="18" t="str">
        <x:v>CAD</x:v>
      </x:c>
      <x:c r="J196" s="18" t="n">
        <x:v>2114.89</x:v>
      </x:c>
      <x:c r="K196" s="2" t="str">
        <x:v>TFSA-monthly-statement-transactions-DEMO_CAD-2025-04-01.csv</x:v>
      </x:c>
      <x:c r="L196" s="2" t="n">
        <x:v>4</x:v>
      </x:c>
      <x:c r="M196" s="2" t="str">
        <x:v>VFV - Vanguard S&amp;P 500 Index ETF: Cash dividend distribution, received on 2025-04-03, record date of 2025-03-27</x:v>
      </x:c>
      <x:c r="N196" s="2" t="str">
        <x:v>Imported</x:v>
      </x:c>
      <x:c r="O196" s="17" t="n">
        <x:f>IF(F196="BUY",G196,IF(F196="SELL",-G196,IF(AND(F196="STKREORG",N196="Applied 4-for-1 CDR split"),G196,0)))</x:f>
        <x:v>0</x:v>
      </x:c>
      <x:c r="P196" s="17" t="n">
        <x:f>SUMIF($E$6:E195,E196,$O$6:O195)</x:f>
        <x:v>39.031</x:v>
      </x:c>
      <x:c r="Q196" s="18" t="n">
        <x:f>SUMIF($E$6:E195,E196,$S$6:S195)</x:f>
        <x:v>5891.519991735696</x:v>
      </x:c>
      <x:c r="R196" s="18" t="n">
        <x:f>IF(P196&gt;0,Q196/P196,0)</x:f>
        <x:v>150.94463354092122</x:v>
      </x:c>
      <x:c r="S196" s="18" t="n">
        <x:f>IF(F196="BUY",-H196,IF(F196="SELL",-G196*R196,0))</x:f>
        <x:v>0</x:v>
      </x:c>
      <x:c r="T196" s="18" t="n">
        <x:f>IF(F196="SELL",IF(G196&gt;P196+0.000001,"REVIEW",H196-G196*R196),0)</x:f>
        <x:v>0</x:v>
      </x:c>
      <x:c r="U196" s="17" t="n">
        <x:f>P196+O196</x:f>
        <x:v>39.031</x:v>
      </x:c>
      <x:c r="V196" s="18" t="n">
        <x:f>Q196+S196</x:f>
        <x:v>5891.519991735696</x:v>
      </x:c>
      <x:c r="W196" s="18" t="n">
        <x:f>IF(F196="DIV",H196,0)</x:f>
        <x:v>15.54</x:v>
      </x:c>
      <x:c r="X196" s="18" t="n">
        <x:f>IF(F196="CONT",H196,0)</x:f>
        <x:v>0</x:v>
      </x:c>
      <x:c r="Y196" s="2" t="str">
        <x:f>TEXT(C196,"yyyy-mm")</x:f>
        <x:v>2025-04</x:v>
      </x:c>
      <x:c r="Z196" s="2" t="str">
        <x:f>IF(OR(AND(F196="STKREORG",N196&lt;&gt;"Applied 4-for-1 CDR split"),AND(F196="SELL",G196&gt;P196+0.000001)),"REVIEW","OK")</x:f>
        <x:v>OK</x:v>
      </x:c>
    </x:row>
    <x:row r="197" ht="21" customHeight="1">
      <x:c r="A197" s="2"/>
      <x:c r="B197" s="2" t="str">
        <x:v>a6058d35b15946a10957</x:v>
      </x:c>
      <x:c r="C197" s="16" t="d">
        <x:v>2025-04-04T00:00:00.000Z</x:v>
      </x:c>
      <x:c r="D197" s="16" t="d">
        <x:v>2025-04-03T00:00:00.000Z</x:v>
      </x:c>
      <x:c r="E197" s="2" t="str">
        <x:v>XEQT_ORD</x:v>
      </x:c>
      <x:c r="F197" s="2" t="str">
        <x:v>BUY</x:v>
      </x:c>
      <x:c r="G197" s="17" t="n">
        <x:v>3</x:v>
      </x:c>
      <x:c r="H197" s="18" t="n">
        <x:v>-97.35</x:v>
      </x:c>
      <x:c r="I197" s="18" t="str">
        <x:v>CAD</x:v>
      </x:c>
      <x:c r="J197" s="18" t="n">
        <x:v>2017.54</x:v>
      </x:c>
      <x:c r="K197" s="2" t="str">
        <x:v>TFSA-monthly-statement-transactions-DEMO_CAD-2025-04-01.csv</x:v>
      </x:c>
      <x:c r="L197" s="2" t="n">
        <x:v>5</x:v>
      </x:c>
      <x:c r="M197" s="2" t="str">
        <x:v>XEQT - iShares Core Equity ETF Portfolio: Bought 3.0000 shares (executed at 2025-04-03)</x:v>
      </x:c>
      <x:c r="N197" s="2" t="str">
        <x:v>Imported</x:v>
      </x:c>
      <x:c r="O197" s="17" t="n">
        <x:f>IF(F197="BUY",G197,IF(F197="SELL",-G197,IF(AND(F197="STKREORG",N197="Applied 4-for-1 CDR split"),G197,0)))</x:f>
        <x:v>3</x:v>
      </x:c>
      <x:c r="P197" s="17" t="n">
        <x:f>SUMIF($E$6:E196,E197,$O$6:O196)</x:f>
        <x:v>104.6174</x:v>
      </x:c>
      <x:c r="Q197" s="18" t="n">
        <x:f>SUMIF($E$6:E196,E197,$S$6:S196)</x:f>
        <x:v>3620.6946449298835</x:v>
      </x:c>
      <x:c r="R197" s="18" t="n">
        <x:f>IF(P197&gt;0,Q197/P197,0)</x:f>
        <x:v>34.60891443421346</x:v>
      </x:c>
      <x:c r="S197" s="18" t="n">
        <x:f>IF(F197="BUY",-H197,IF(F197="SELL",-G197*R197,0))</x:f>
        <x:v>97.35</x:v>
      </x:c>
      <x:c r="T197" s="18" t="n">
        <x:f>IF(F197="SELL",IF(G197&gt;P197+0.000001,"REVIEW",H197-G197*R197),0)</x:f>
        <x:v>0</x:v>
      </x:c>
      <x:c r="U197" s="17" t="n">
        <x:f>P197+O197</x:f>
        <x:v>107.6174</x:v>
      </x:c>
      <x:c r="V197" s="18" t="n">
        <x:f>Q197+S197</x:f>
        <x:v>3718.0446449298834</x:v>
      </x:c>
      <x:c r="W197" s="18" t="n">
        <x:f>IF(F197="DIV",H197,0)</x:f>
        <x:v>0</x:v>
      </x:c>
      <x:c r="X197" s="18" t="n">
        <x:f>IF(F197="CONT",H197,0)</x:f>
        <x:v>0</x:v>
      </x:c>
      <x:c r="Y197" s="2" t="str">
        <x:f>TEXT(C197,"yyyy-mm")</x:f>
        <x:v>2025-04</x:v>
      </x:c>
      <x:c r="Z197" s="2" t="str">
        <x:f>IF(OR(AND(F197="STKREORG",N197&lt;&gt;"Applied 4-for-1 CDR split"),AND(F197="SELL",G197&gt;P197+0.000001)),"REVIEW","OK")</x:f>
        <x:v>OK</x:v>
      </x:c>
    </x:row>
    <x:row r="198" ht="21" customHeight="1">
      <x:c r="A198" s="2"/>
      <x:c r="B198" s="2" t="str">
        <x:v>b44b894ecbbfc48a14a9</x:v>
      </x:c>
      <x:c r="C198" s="16" t="d">
        <x:v>2025-04-04T00:00:00.000Z</x:v>
      </x:c>
      <x:c r="D198" s="16" t="d">
        <x:v>2025-04-03T00:00:00.000Z</x:v>
      </x:c>
      <x:c r="E198" s="2" t="str">
        <x:v>VFV_ORD</x:v>
      </x:c>
      <x:c r="F198" s="2" t="str">
        <x:v>BUY</x:v>
      </x:c>
      <x:c r="G198" s="17" t="n">
        <x:v>5</x:v>
      </x:c>
      <x:c r="H198" s="18" t="n">
        <x:v>-681.15</x:v>
      </x:c>
      <x:c r="I198" s="18" t="str">
        <x:v>CAD</x:v>
      </x:c>
      <x:c r="J198" s="18" t="n">
        <x:v>1336.39</x:v>
      </x:c>
      <x:c r="K198" s="2" t="str">
        <x:v>TFSA-monthly-statement-transactions-DEMO_CAD-2025-04-01.csv</x:v>
      </x:c>
      <x:c r="L198" s="2" t="n">
        <x:v>6</x:v>
      </x:c>
      <x:c r="M198" s="2" t="str">
        <x:v>VFV - Vanguard S&amp;P 500 Index ETF: Bought 5.0000 shares (executed at 2025-04-03)</x:v>
      </x:c>
      <x:c r="N198" s="2" t="str">
        <x:v>Imported</x:v>
      </x:c>
      <x:c r="O198" s="17" t="n">
        <x:f>IF(F198="BUY",G198,IF(F198="SELL",-G198,IF(AND(F198="STKREORG",N198="Applied 4-for-1 CDR split"),G198,0)))</x:f>
        <x:v>5</x:v>
      </x:c>
      <x:c r="P198" s="17" t="n">
        <x:f>SUMIF($E$6:E197,E198,$O$6:O197)</x:f>
        <x:v>39.031</x:v>
      </x:c>
      <x:c r="Q198" s="18" t="n">
        <x:f>SUMIF($E$6:E197,E198,$S$6:S197)</x:f>
        <x:v>5891.519991735696</x:v>
      </x:c>
      <x:c r="R198" s="18" t="n">
        <x:f>IF(P198&gt;0,Q198/P198,0)</x:f>
        <x:v>150.94463354092122</x:v>
      </x:c>
      <x:c r="S198" s="18" t="n">
        <x:f>IF(F198="BUY",-H198,IF(F198="SELL",-G198*R198,0))</x:f>
        <x:v>681.15</x:v>
      </x:c>
      <x:c r="T198" s="18" t="n">
        <x:f>IF(F198="SELL",IF(G198&gt;P198+0.000001,"REVIEW",H198-G198*R198),0)</x:f>
        <x:v>0</x:v>
      </x:c>
      <x:c r="U198" s="17" t="n">
        <x:f>P198+O198</x:f>
        <x:v>44.031</x:v>
      </x:c>
      <x:c r="V198" s="18" t="n">
        <x:f>Q198+S198</x:f>
        <x:v>6572.6699917356955</x:v>
      </x:c>
      <x:c r="W198" s="18" t="n">
        <x:f>IF(F198="DIV",H198,0)</x:f>
        <x:v>0</x:v>
      </x:c>
      <x:c r="X198" s="18" t="n">
        <x:f>IF(F198="CONT",H198,0)</x:f>
        <x:v>0</x:v>
      </x:c>
      <x:c r="Y198" s="2" t="str">
        <x:f>TEXT(C198,"yyyy-mm")</x:f>
        <x:v>2025-04</x:v>
      </x:c>
      <x:c r="Z198" s="2" t="str">
        <x:f>IF(OR(AND(F198="STKREORG",N198&lt;&gt;"Applied 4-for-1 CDR split"),AND(F198="SELL",G198&gt;P198+0.000001)),"REVIEW","OK")</x:f>
        <x:v>OK</x:v>
      </x:c>
    </x:row>
    <x:row r="199" ht="21" customHeight="1">
      <x:c r="A199" s="2"/>
      <x:c r="B199" s="2" t="str">
        <x:v>bcfe6596958a1e77efb3</x:v>
      </x:c>
      <x:c r="C199" s="16" t="d">
        <x:v>2025-04-04T00:00:00.000Z</x:v>
      </x:c>
      <x:c r="D199" s="16" t="d">
        <x:v>2025-04-03T00:00:00.000Z</x:v>
      </x:c>
      <x:c r="E199" s="2" t="str">
        <x:v>AMZN_CDR</x:v>
      </x:c>
      <x:c r="F199" s="2" t="str">
        <x:v>BUY</x:v>
      </x:c>
      <x:c r="G199" s="17" t="n">
        <x:v>5</x:v>
      </x:c>
      <x:c r="H199" s="18" t="n">
        <x:v>-107.6</x:v>
      </x:c>
      <x:c r="I199" s="18" t="str">
        <x:v>CAD</x:v>
      </x:c>
      <x:c r="J199" s="18" t="n">
        <x:v>1228.79</x:v>
      </x:c>
      <x:c r="K199" s="2" t="str">
        <x:v>TFSA-monthly-statement-transactions-DEMO_CAD-2025-04-01.csv</x:v>
      </x:c>
      <x:c r="L199" s="2" t="n">
        <x:v>7</x:v>
      </x:c>
      <x:c r="M199" s="2" t="str">
        <x:v>AMZN - Amazon.com CDR (CAD Hedged): Bought 5.0000 shares (executed at 2025-04-03)</x:v>
      </x:c>
      <x:c r="N199" s="2" t="str">
        <x:v>Imported</x:v>
      </x:c>
      <x:c r="O199" s="17" t="n">
        <x:f>IF(F199="BUY",G199,IF(F199="SELL",-G199,IF(AND(F199="STKREORG",N199="Applied 4-for-1 CDR split"),G199,0)))</x:f>
        <x:v>5</x:v>
      </x:c>
      <x:c r="P199" s="17" t="n">
        <x:f>SUMIF($E$6:E198,E199,$O$6:O198)</x:f>
        <x:v>0</x:v>
      </x:c>
      <x:c r="Q199" s="18" t="n">
        <x:f>SUMIF($E$6:E198,E199,$S$6:S198)</x:f>
        <x:v>0</x:v>
      </x:c>
      <x:c r="R199" s="18" t="n">
        <x:f>IF(P199&gt;0,Q199/P199,0)</x:f>
        <x:v>0</x:v>
      </x:c>
      <x:c r="S199" s="18" t="n">
        <x:f>IF(F199="BUY",-H199,IF(F199="SELL",-G199*R199,0))</x:f>
        <x:v>107.6</x:v>
      </x:c>
      <x:c r="T199" s="18" t="n">
        <x:f>IF(F199="SELL",IF(G199&gt;P199+0.000001,"REVIEW",H199-G199*R199),0)</x:f>
        <x:v>0</x:v>
      </x:c>
      <x:c r="U199" s="17" t="n">
        <x:f>P199+O199</x:f>
        <x:v>5</x:v>
      </x:c>
      <x:c r="V199" s="18" t="n">
        <x:f>Q199+S199</x:f>
        <x:v>107.6</x:v>
      </x:c>
      <x:c r="W199" s="18" t="n">
        <x:f>IF(F199="DIV",H199,0)</x:f>
        <x:v>0</x:v>
      </x:c>
      <x:c r="X199" s="18" t="n">
        <x:f>IF(F199="CONT",H199,0)</x:f>
        <x:v>0</x:v>
      </x:c>
      <x:c r="Y199" s="2" t="str">
        <x:f>TEXT(C199,"yyyy-mm")</x:f>
        <x:v>2025-04</x:v>
      </x:c>
      <x:c r="Z199" s="2" t="str">
        <x:f>IF(OR(AND(F199="STKREORG",N199&lt;&gt;"Applied 4-for-1 CDR split"),AND(F199="SELL",G199&gt;P199+0.000001)),"REVIEW","OK")</x:f>
        <x:v>OK</x:v>
      </x:c>
    </x:row>
    <x:row r="200" ht="21" customHeight="1">
      <x:c r="A200" s="2"/>
      <x:c r="B200" s="2" t="str">
        <x:v>bfd8dbdc1da3ac44379e</x:v>
      </x:c>
      <x:c r="C200" s="16" t="d">
        <x:v>2025-04-04T00:00:00.000Z</x:v>
      </x:c>
      <x:c r="D200" s="16" t="d">
        <x:v>2025-04-03T00:00:00.000Z</x:v>
      </x:c>
      <x:c r="E200" s="2" t="str">
        <x:v>AAPL_CDR</x:v>
      </x:c>
      <x:c r="F200" s="2" t="str">
        <x:v>BUY</x:v>
      </x:c>
      <x:c r="G200" s="17" t="n">
        <x:v>10</x:v>
      </x:c>
      <x:c r="H200" s="18" t="n">
        <x:v>-298.7</x:v>
      </x:c>
      <x:c r="I200" s="18" t="str">
        <x:v>CAD</x:v>
      </x:c>
      <x:c r="J200" s="18" t="n">
        <x:v>930.09</x:v>
      </x:c>
      <x:c r="K200" s="2" t="str">
        <x:v>TFSA-monthly-statement-transactions-DEMO_CAD-2025-04-01.csv</x:v>
      </x:c>
      <x:c r="L200" s="2" t="n">
        <x:v>8</x:v>
      </x:c>
      <x:c r="M200" s="2" t="str">
        <x:v>AAPL - Apple CDR (CAD Hedged) : Bought 10.0000 shares (executed at 2025-04-03)</x:v>
      </x:c>
      <x:c r="N200" s="2" t="str">
        <x:v>Imported</x:v>
      </x:c>
      <x:c r="O200" s="17" t="n">
        <x:f>IF(F200="BUY",G200,IF(F200="SELL",-G200,IF(AND(F200="STKREORG",N200="Applied 4-for-1 CDR split"),G200,0)))</x:f>
        <x:v>10</x:v>
      </x:c>
      <x:c r="P200" s="17" t="n">
        <x:f>SUMIF($E$6:E199,E200,$O$6:O199)</x:f>
        <x:v>0</x:v>
      </x:c>
      <x:c r="Q200" s="18" t="n">
        <x:f>SUMIF($E$6:E199,E200,$S$6:S199)</x:f>
        <x:v>0</x:v>
      </x:c>
      <x:c r="R200" s="18" t="n">
        <x:f>IF(P200&gt;0,Q200/P200,0)</x:f>
        <x:v>0</x:v>
      </x:c>
      <x:c r="S200" s="18" t="n">
        <x:f>IF(F200="BUY",-H200,IF(F200="SELL",-G200*R200,0))</x:f>
        <x:v>298.7</x:v>
      </x:c>
      <x:c r="T200" s="18" t="n">
        <x:f>IF(F200="SELL",IF(G200&gt;P200+0.000001,"REVIEW",H200-G200*R200),0)</x:f>
        <x:v>0</x:v>
      </x:c>
      <x:c r="U200" s="17" t="n">
        <x:f>P200+O200</x:f>
        <x:v>10</x:v>
      </x:c>
      <x:c r="V200" s="18" t="n">
        <x:f>Q200+S200</x:f>
        <x:v>298.7</x:v>
      </x:c>
      <x:c r="W200" s="18" t="n">
        <x:f>IF(F200="DIV",H200,0)</x:f>
        <x:v>0</x:v>
      </x:c>
      <x:c r="X200" s="18" t="n">
        <x:f>IF(F200="CONT",H200,0)</x:f>
        <x:v>0</x:v>
      </x:c>
      <x:c r="Y200" s="2" t="str">
        <x:f>TEXT(C200,"yyyy-mm")</x:f>
        <x:v>2025-04</x:v>
      </x:c>
      <x:c r="Z200" s="2" t="str">
        <x:f>IF(OR(AND(F200="STKREORG",N200&lt;&gt;"Applied 4-for-1 CDR split"),AND(F200="SELL",G200&gt;P200+0.000001)),"REVIEW","OK")</x:f>
        <x:v>OK</x:v>
      </x:c>
    </x:row>
    <x:row r="201" ht="21" customHeight="1">
      <x:c r="A201" s="2"/>
      <x:c r="B201" s="2" t="str">
        <x:v>e49ff1e170678773c697</x:v>
      </x:c>
      <x:c r="C201" s="16" t="d">
        <x:v>2025-04-04T00:00:00.000Z</x:v>
      </x:c>
      <x:c r="D201" s="16" t="d">
        <x:v>2025-04-03T00:00:00.000Z</x:v>
      </x:c>
      <x:c r="E201" s="2" t="str">
        <x:v>XEQT_ORD</x:v>
      </x:c>
      <x:c r="F201" s="2" t="str">
        <x:v>BUY</x:v>
      </x:c>
      <x:c r="G201" s="17" t="n">
        <x:v>10</x:v>
      </x:c>
      <x:c r="H201" s="18" t="n">
        <x:v>-324.7</x:v>
      </x:c>
      <x:c r="I201" s="18" t="str">
        <x:v>CAD</x:v>
      </x:c>
      <x:c r="J201" s="18" t="n">
        <x:v>605.39</x:v>
      </x:c>
      <x:c r="K201" s="2" t="str">
        <x:v>TFSA-monthly-statement-transactions-DEMO_CAD-2025-04-01.csv</x:v>
      </x:c>
      <x:c r="L201" s="2" t="n">
        <x:v>9</x:v>
      </x:c>
      <x:c r="M201" s="2" t="str">
        <x:v>XEQT - iShares Core Equity ETF Portfolio: Bought 10.0000 shares (executed at 2025-04-03)</x:v>
      </x:c>
      <x:c r="N201" s="2" t="str">
        <x:v>Imported</x:v>
      </x:c>
      <x:c r="O201" s="17" t="n">
        <x:f>IF(F201="BUY",G201,IF(F201="SELL",-G201,IF(AND(F201="STKREORG",N201="Applied 4-for-1 CDR split"),G201,0)))</x:f>
        <x:v>10</x:v>
      </x:c>
      <x:c r="P201" s="17" t="n">
        <x:f>SUMIF($E$6:E200,E201,$O$6:O200)</x:f>
        <x:v>107.6174</x:v>
      </x:c>
      <x:c r="Q201" s="18" t="n">
        <x:f>SUMIF($E$6:E200,E201,$S$6:S200)</x:f>
        <x:v>3718.0446449298834</x:v>
      </x:c>
      <x:c r="R201" s="18" t="n">
        <x:f>IF(P201&gt;0,Q201/P201,0)</x:f>
        <x:v>34.54873138479357</x:v>
      </x:c>
      <x:c r="S201" s="18" t="n">
        <x:f>IF(F201="BUY",-H201,IF(F201="SELL",-G201*R201,0))</x:f>
        <x:v>324.7</x:v>
      </x:c>
      <x:c r="T201" s="18" t="n">
        <x:f>IF(F201="SELL",IF(G201&gt;P201+0.000001,"REVIEW",H201-G201*R201),0)</x:f>
        <x:v>0</x:v>
      </x:c>
      <x:c r="U201" s="17" t="n">
        <x:f>P201+O201</x:f>
        <x:v>117.6174</x:v>
      </x:c>
      <x:c r="V201" s="18" t="n">
        <x:f>Q201+S201</x:f>
        <x:v>4042.744644929883</x:v>
      </x:c>
      <x:c r="W201" s="18" t="n">
        <x:f>IF(F201="DIV",H201,0)</x:f>
        <x:v>0</x:v>
      </x:c>
      <x:c r="X201" s="18" t="n">
        <x:f>IF(F201="CONT",H201,0)</x:f>
        <x:v>0</x:v>
      </x:c>
      <x:c r="Y201" s="2" t="str">
        <x:f>TEXT(C201,"yyyy-mm")</x:f>
        <x:v>2025-04</x:v>
      </x:c>
      <x:c r="Z201" s="2" t="str">
        <x:f>IF(OR(AND(F201="STKREORG",N201&lt;&gt;"Applied 4-for-1 CDR split"),AND(F201="SELL",G201&gt;P201+0.000001)),"REVIEW","OK")</x:f>
        <x:v>OK</x:v>
      </x:c>
    </x:row>
    <x:row r="202" ht="21" customHeight="1">
      <x:c r="A202" s="2"/>
      <x:c r="B202" s="2" t="str">
        <x:v>d8f8ff9a9cb013ceafb7</x:v>
      </x:c>
      <x:c r="C202" s="16" t="d">
        <x:v>2025-04-04T00:00:00.000Z</x:v>
      </x:c>
      <x:c r="D202" s="16" t="d">
        <x:v>2025-04-04T00:00:00.000Z</x:v>
      </x:c>
      <x:c r="E202" s="2" t="str">
        <x:v>TEC_ORD</x:v>
      </x:c>
      <x:c r="F202" s="2" t="str">
        <x:v>DIV</x:v>
      </x:c>
      <x:c r="G202" s="17" t="n">
        <x:v>0</x:v>
      </x:c>
      <x:c r="H202" s="18" t="n">
        <x:v>0.2</x:v>
      </x:c>
      <x:c r="I202" s="18" t="str">
        <x:v>CAD</x:v>
      </x:c>
      <x:c r="J202" s="18" t="n">
        <x:v>605.59</x:v>
      </x:c>
      <x:c r="K202" s="2" t="str">
        <x:v>TFSA-monthly-statement-transactions-DEMO_CAD-2025-04-01.csv</x:v>
      </x:c>
      <x:c r="L202" s="2" t="n">
        <x:v>10</x:v>
      </x:c>
      <x:c r="M202" s="2" t="str">
        <x:v>TEC - TD Global Tech Leaders Index ETF: Cash dividend distribution, received on 2025-04-04, record date of 2025-03-28</x:v>
      </x:c>
      <x:c r="N202" s="2" t="str">
        <x:v>Imported</x:v>
      </x:c>
      <x:c r="O202" s="17" t="n">
        <x:f>IF(F202="BUY",G202,IF(F202="SELL",-G202,IF(AND(F202="STKREORG",N202="Applied 4-for-1 CDR split"),G202,0)))</x:f>
        <x:v>0</x:v>
      </x:c>
      <x:c r="P202" s="17" t="n">
        <x:f>SUMIF($E$6:E201,E202,$O$6:O201)</x:f>
        <x:v>20</x:v>
      </x:c>
      <x:c r="Q202" s="18" t="n">
        <x:f>SUMIF($E$6:E201,E202,$S$6:S201)</x:f>
        <x:v>892.8</x:v>
      </x:c>
      <x:c r="R202" s="18" t="n">
        <x:f>IF(P202&gt;0,Q202/P202,0)</x:f>
        <x:v>44.64</x:v>
      </x:c>
      <x:c r="S202" s="18" t="n">
        <x:f>IF(F202="BUY",-H202,IF(F202="SELL",-G202*R202,0))</x:f>
        <x:v>0</x:v>
      </x:c>
      <x:c r="T202" s="18" t="n">
        <x:f>IF(F202="SELL",IF(G202&gt;P202+0.000001,"REVIEW",H202-G202*R202),0)</x:f>
        <x:v>0</x:v>
      </x:c>
      <x:c r="U202" s="17" t="n">
        <x:f>P202+O202</x:f>
        <x:v>20</x:v>
      </x:c>
      <x:c r="V202" s="18" t="n">
        <x:f>Q202+S202</x:f>
        <x:v>892.8</x:v>
      </x:c>
      <x:c r="W202" s="18" t="n">
        <x:f>IF(F202="DIV",H202,0)</x:f>
        <x:v>0.2</x:v>
      </x:c>
      <x:c r="X202" s="18" t="n">
        <x:f>IF(F202="CONT",H202,0)</x:f>
        <x:v>0</x:v>
      </x:c>
      <x:c r="Y202" s="2" t="str">
        <x:f>TEXT(C202,"yyyy-mm")</x:f>
        <x:v>2025-04</x:v>
      </x:c>
      <x:c r="Z202" s="2" t="str">
        <x:f>IF(OR(AND(F202="STKREORG",N202&lt;&gt;"Applied 4-for-1 CDR split"),AND(F202="SELL",G202&gt;P202+0.000001)),"REVIEW","OK")</x:f>
        <x:v>OK</x:v>
      </x:c>
    </x:row>
    <x:row r="203" ht="21" customHeight="1">
      <x:c r="A203" s="2"/>
      <x:c r="B203" s="2" t="str">
        <x:v>20f8cd655d07ae73d5b2</x:v>
      </x:c>
      <x:c r="C203" s="16" t="d">
        <x:v>2025-04-08T00:00:00.000Z</x:v>
      </x:c>
      <x:c r="D203" s="16" t="d">
        <x:v>2025-04-07T00:00:00.000Z</x:v>
      </x:c>
      <x:c r="E203" s="2" t="str">
        <x:v>XEQT_ORD</x:v>
      </x:c>
      <x:c r="F203" s="2" t="str">
        <x:v>BUY</x:v>
      </x:c>
      <x:c r="G203" s="17" t="n">
        <x:v>2</x:v>
      </x:c>
      <x:c r="H203" s="18" t="n">
        <x:v>-60.1</x:v>
      </x:c>
      <x:c r="I203" s="18" t="str">
        <x:v>CAD</x:v>
      </x:c>
      <x:c r="J203" s="18" t="n">
        <x:v>545.49</x:v>
      </x:c>
      <x:c r="K203" s="2" t="str">
        <x:v>TFSA-monthly-statement-transactions-DEMO_CAD-2025-04-01.csv</x:v>
      </x:c>
      <x:c r="L203" s="2" t="n">
        <x:v>11</x:v>
      </x:c>
      <x:c r="M203" s="2" t="str">
        <x:v>XEQT - iShares Core Equity ETF Portfolio: Bought 2.0000 shares (executed at 2025-04-07)</x:v>
      </x:c>
      <x:c r="N203" s="2" t="str">
        <x:v>Imported</x:v>
      </x:c>
      <x:c r="O203" s="17" t="n">
        <x:f>IF(F203="BUY",G203,IF(F203="SELL",-G203,IF(AND(F203="STKREORG",N203="Applied 4-for-1 CDR split"),G203,0)))</x:f>
        <x:v>2</x:v>
      </x:c>
      <x:c r="P203" s="17" t="n">
        <x:f>SUMIF($E$6:E202,E203,$O$6:O202)</x:f>
        <x:v>117.6174</x:v>
      </x:c>
      <x:c r="Q203" s="18" t="n">
        <x:f>SUMIF($E$6:E202,E203,$S$6:S202)</x:f>
        <x:v>4042.744644929883</x:v>
      </x:c>
      <x:c r="R203" s="18" t="n">
        <x:f>IF(P203&gt;0,Q203/P203,0)</x:f>
        <x:v>34.37199466175824</x:v>
      </x:c>
      <x:c r="S203" s="18" t="n">
        <x:f>IF(F203="BUY",-H203,IF(F203="SELL",-G203*R203,0))</x:f>
        <x:v>60.1</x:v>
      </x:c>
      <x:c r="T203" s="18" t="n">
        <x:f>IF(F203="SELL",IF(G203&gt;P203+0.000001,"REVIEW",H203-G203*R203),0)</x:f>
        <x:v>0</x:v>
      </x:c>
      <x:c r="U203" s="17" t="n">
        <x:f>P203+O203</x:f>
        <x:v>119.6174</x:v>
      </x:c>
      <x:c r="V203" s="18" t="n">
        <x:f>Q203+S203</x:f>
        <x:v>4102.8446449298835</x:v>
      </x:c>
      <x:c r="W203" s="18" t="n">
        <x:f>IF(F203="DIV",H203,0)</x:f>
        <x:v>0</x:v>
      </x:c>
      <x:c r="X203" s="18" t="n">
        <x:f>IF(F203="CONT",H203,0)</x:f>
        <x:v>0</x:v>
      </x:c>
      <x:c r="Y203" s="2" t="str">
        <x:f>TEXT(C203,"yyyy-mm")</x:f>
        <x:v>2025-04</x:v>
      </x:c>
      <x:c r="Z203" s="2" t="str">
        <x:f>IF(OR(AND(F203="STKREORG",N203&lt;&gt;"Applied 4-for-1 CDR split"),AND(F203="SELL",G203&gt;P203+0.000001)),"REVIEW","OK")</x:f>
        <x:v>OK</x:v>
      </x:c>
    </x:row>
    <x:row r="204" ht="21" customHeight="1">
      <x:c r="A204" s="2"/>
      <x:c r="B204" s="2" t="str">
        <x:v>74765f06c0af2238d143</x:v>
      </x:c>
      <x:c r="C204" s="16" t="d">
        <x:v>2025-04-08T00:00:00.000Z</x:v>
      </x:c>
      <x:c r="D204" s="16" t="d">
        <x:v>2025-04-07T00:00:00.000Z</x:v>
      </x:c>
      <x:c r="E204" s="2" t="str">
        <x:v>VFV_ORD</x:v>
      </x:c>
      <x:c r="F204" s="2" t="str">
        <x:v>BUY</x:v>
      </x:c>
      <x:c r="G204" s="17" t="n">
        <x:v>1</x:v>
      </x:c>
      <x:c r="H204" s="18" t="n">
        <x:v>-126.53</x:v>
      </x:c>
      <x:c r="I204" s="18" t="str">
        <x:v>CAD</x:v>
      </x:c>
      <x:c r="J204" s="18" t="n">
        <x:v>418.96</x:v>
      </x:c>
      <x:c r="K204" s="2" t="str">
        <x:v>TFSA-monthly-statement-transactions-DEMO_CAD-2025-04-01.csv</x:v>
      </x:c>
      <x:c r="L204" s="2" t="n">
        <x:v>12</x:v>
      </x:c>
      <x:c r="M204" s="2" t="str">
        <x:v>VFV - Vanguard S&amp;P 500 Index ETF: Bought 1.0000 shares (executed at 2025-04-07)</x:v>
      </x:c>
      <x:c r="N204" s="2" t="str">
        <x:v>Imported</x:v>
      </x:c>
      <x:c r="O204" s="17" t="n">
        <x:f>IF(F204="BUY",G204,IF(F204="SELL",-G204,IF(AND(F204="STKREORG",N204="Applied 4-for-1 CDR split"),G204,0)))</x:f>
        <x:v>1</x:v>
      </x:c>
      <x:c r="P204" s="17" t="n">
        <x:f>SUMIF($E$6:E203,E204,$O$6:O203)</x:f>
        <x:v>44.031</x:v>
      </x:c>
      <x:c r="Q204" s="18" t="n">
        <x:f>SUMIF($E$6:E203,E204,$S$6:S203)</x:f>
        <x:v>6572.6699917356955</x:v>
      </x:c>
      <x:c r="R204" s="18" t="n">
        <x:f>IF(P204&gt;0,Q204/P204,0)</x:f>
        <x:v>149.27369334640812</x:v>
      </x:c>
      <x:c r="S204" s="18" t="n">
        <x:f>IF(F204="BUY",-H204,IF(F204="SELL",-G204*R204,0))</x:f>
        <x:v>126.53</x:v>
      </x:c>
      <x:c r="T204" s="18" t="n">
        <x:f>IF(F204="SELL",IF(G204&gt;P204+0.000001,"REVIEW",H204-G204*R204),0)</x:f>
        <x:v>0</x:v>
      </x:c>
      <x:c r="U204" s="17" t="n">
        <x:f>P204+O204</x:f>
        <x:v>45.031</x:v>
      </x:c>
      <x:c r="V204" s="18" t="n">
        <x:f>Q204+S204</x:f>
        <x:v>6699.199991735695</x:v>
      </x:c>
      <x:c r="W204" s="18" t="n">
        <x:f>IF(F204="DIV",H204,0)</x:f>
        <x:v>0</x:v>
      </x:c>
      <x:c r="X204" s="18" t="n">
        <x:f>IF(F204="CONT",H204,0)</x:f>
        <x:v>0</x:v>
      </x:c>
      <x:c r="Y204" s="2" t="str">
        <x:f>TEXT(C204,"yyyy-mm")</x:f>
        <x:v>2025-04</x:v>
      </x:c>
      <x:c r="Z204" s="2" t="str">
        <x:f>IF(OR(AND(F204="STKREORG",N204&lt;&gt;"Applied 4-for-1 CDR split"),AND(F204="SELL",G204&gt;P204+0.000001)),"REVIEW","OK")</x:f>
        <x:v>OK</x:v>
      </x:c>
    </x:row>
    <x:row r="205" ht="21" customHeight="1">
      <x:c r="A205" s="2"/>
      <x:c r="B205" s="2" t="str">
        <x:v>a00591a2f663ac662342</x:v>
      </x:c>
      <x:c r="C205" s="16" t="d">
        <x:v>2025-04-09T00:00:00.000Z</x:v>
      </x:c>
      <x:c r="D205" s="16" t="d">
        <x:v>2025-04-08T00:00:00.000Z</x:v>
      </x:c>
      <x:c r="E205" s="2" t="str">
        <x:v>AAPL_CDR</x:v>
      </x:c>
      <x:c r="F205" s="2" t="str">
        <x:v>BUY</x:v>
      </x:c>
      <x:c r="G205" s="17" t="n">
        <x:v>4</x:v>
      </x:c>
      <x:c r="H205" s="18" t="n">
        <x:v>-100.08</x:v>
      </x:c>
      <x:c r="I205" s="18" t="str">
        <x:v>CAD</x:v>
      </x:c>
      <x:c r="J205" s="18" t="n">
        <x:v>318.88</x:v>
      </x:c>
      <x:c r="K205" s="2" t="str">
        <x:v>TFSA-monthly-statement-transactions-DEMO_CAD-2025-04-01.csv</x:v>
      </x:c>
      <x:c r="L205" s="2" t="n">
        <x:v>13</x:v>
      </x:c>
      <x:c r="M205" s="2" t="str">
        <x:v>AAPL - Apple CDR (CAD Hedged) : Bought 4.0000 shares (executed at 2025-04-08)</x:v>
      </x:c>
      <x:c r="N205" s="2" t="str">
        <x:v>Imported</x:v>
      </x:c>
      <x:c r="O205" s="17" t="n">
        <x:f>IF(F205="BUY",G205,IF(F205="SELL",-G205,IF(AND(F205="STKREORG",N205="Applied 4-for-1 CDR split"),G205,0)))</x:f>
        <x:v>4</x:v>
      </x:c>
      <x:c r="P205" s="17" t="n">
        <x:f>SUMIF($E$6:E204,E205,$O$6:O204)</x:f>
        <x:v>10</x:v>
      </x:c>
      <x:c r="Q205" s="18" t="n">
        <x:f>SUMIF($E$6:E204,E205,$S$6:S204)</x:f>
        <x:v>298.7</x:v>
      </x:c>
      <x:c r="R205" s="18" t="n">
        <x:f>IF(P205&gt;0,Q205/P205,0)</x:f>
        <x:v>29.869999999999997</x:v>
      </x:c>
      <x:c r="S205" s="18" t="n">
        <x:f>IF(F205="BUY",-H205,IF(F205="SELL",-G205*R205,0))</x:f>
        <x:v>100.08</x:v>
      </x:c>
      <x:c r="T205" s="18" t="n">
        <x:f>IF(F205="SELL",IF(G205&gt;P205+0.000001,"REVIEW",H205-G205*R205),0)</x:f>
        <x:v>0</x:v>
      </x:c>
      <x:c r="U205" s="17" t="n">
        <x:f>P205+O205</x:f>
        <x:v>14</x:v>
      </x:c>
      <x:c r="V205" s="18" t="n">
        <x:f>Q205+S205</x:f>
        <x:v>398.78</x:v>
      </x:c>
      <x:c r="W205" s="18" t="n">
        <x:f>IF(F205="DIV",H205,0)</x:f>
        <x:v>0</x:v>
      </x:c>
      <x:c r="X205" s="18" t="n">
        <x:f>IF(F205="CONT",H205,0)</x:f>
        <x:v>0</x:v>
      </x:c>
      <x:c r="Y205" s="2" t="str">
        <x:f>TEXT(C205,"yyyy-mm")</x:f>
        <x:v>2025-04</x:v>
      </x:c>
      <x:c r="Z205" s="2" t="str">
        <x:f>IF(OR(AND(F205="STKREORG",N205&lt;&gt;"Applied 4-for-1 CDR split"),AND(F205="SELL",G205&gt;P205+0.000001)),"REVIEW","OK")</x:f>
        <x:v>OK</x:v>
      </x:c>
    </x:row>
    <x:row r="206" ht="21" customHeight="1">
      <x:c r="A206" s="2"/>
      <x:c r="B206" s="2" t="str">
        <x:v>9d3afea820e8e1c7a266</x:v>
      </x:c>
      <x:c r="C206" s="16" t="d">
        <x:v>2025-04-09T00:00:00.000Z</x:v>
      </x:c>
      <x:c r="D206" s="16" t="d">
        <x:v>2025-04-09T00:00:00.000Z</x:v>
      </x:c>
      <x:c r="E206" s="2" t="str">
        <x:v>NVDA_CDR</x:v>
      </x:c>
      <x:c r="F206" s="2" t="str">
        <x:v>DIV</x:v>
      </x:c>
      <x:c r="G206" s="17" t="n">
        <x:v>0</x:v>
      </x:c>
      <x:c r="H206" s="18" t="n">
        <x:v>0.02</x:v>
      </x:c>
      <x:c r="I206" s="18" t="str">
        <x:v>CAD</x:v>
      </x:c>
      <x:c r="J206" s="18" t="n">
        <x:v>318.9</x:v>
      </x:c>
      <x:c r="K206" s="2" t="str">
        <x:v>TFSA-monthly-statement-transactions-DEMO_CAD-2025-04-01.csv</x:v>
      </x:c>
      <x:c r="L206" s="2" t="n">
        <x:v>14</x:v>
      </x:c>
      <x:c r="M206" s="2" t="str">
        <x:v>NVDA - Nvidia Corp: Cash dividend distribution, received on 2025-04-09, record date of 2025-03-12</x:v>
      </x:c>
      <x:c r="N206" s="2" t="str">
        <x:v>Imported</x:v>
      </x:c>
      <x:c r="O206" s="17" t="n">
        <x:f>IF(F206="BUY",G206,IF(F206="SELL",-G206,IF(AND(F206="STKREORG",N206="Applied 4-for-1 CDR split"),G206,0)))</x:f>
        <x:v>0</x:v>
      </x:c>
      <x:c r="P206" s="17" t="n">
        <x:f>SUMIF($E$6:E205,E206,$O$6:O205)</x:f>
        <x:v>10</x:v>
      </x:c>
      <x:c r="Q206" s="18" t="n">
        <x:f>SUMIF($E$6:E205,E206,$S$6:S205)</x:f>
        <x:v>290.04999999999995</x:v>
      </x:c>
      <x:c r="R206" s="18" t="n">
        <x:f>IF(P206&gt;0,Q206/P206,0)</x:f>
        <x:v>29.004999999999995</x:v>
      </x:c>
      <x:c r="S206" s="18" t="n">
        <x:f>IF(F206="BUY",-H206,IF(F206="SELL",-G206*R206,0))</x:f>
        <x:v>0</x:v>
      </x:c>
      <x:c r="T206" s="18" t="n">
        <x:f>IF(F206="SELL",IF(G206&gt;P206+0.000001,"REVIEW",H206-G206*R206),0)</x:f>
        <x:v>0</x:v>
      </x:c>
      <x:c r="U206" s="17" t="n">
        <x:f>P206+O206</x:f>
        <x:v>10</x:v>
      </x:c>
      <x:c r="V206" s="18" t="n">
        <x:f>Q206+S206</x:f>
        <x:v>290.04999999999995</x:v>
      </x:c>
      <x:c r="W206" s="18" t="n">
        <x:f>IF(F206="DIV",H206,0)</x:f>
        <x:v>0.02</x:v>
      </x:c>
      <x:c r="X206" s="18" t="n">
        <x:f>IF(F206="CONT",H206,0)</x:f>
        <x:v>0</x:v>
      </x:c>
      <x:c r="Y206" s="2" t="str">
        <x:f>TEXT(C206,"yyyy-mm")</x:f>
        <x:v>2025-04</x:v>
      </x:c>
      <x:c r="Z206" s="2" t="str">
        <x:f>IF(OR(AND(F206="STKREORG",N206&lt;&gt;"Applied 4-for-1 CDR split"),AND(F206="SELL",G206&gt;P206+0.000001)),"REVIEW","OK")</x:f>
        <x:v>OK</x:v>
      </x:c>
    </x:row>
    <x:row r="207" ht="21" customHeight="1">
      <x:c r="A207" s="2"/>
      <x:c r="B207" s="2" t="str">
        <x:v>c64d4cbba65de32d9e9d</x:v>
      </x:c>
      <x:c r="C207" s="16" t="d">
        <x:v>2025-04-11T00:00:00.000Z</x:v>
      </x:c>
      <x:c r="D207" s="16" t="d">
        <x:v>2025-04-10T00:00:00.000Z</x:v>
      </x:c>
      <x:c r="E207" s="2" t="str">
        <x:v>NVDA_CDR</x:v>
      </x:c>
      <x:c r="F207" s="2" t="str">
        <x:v>BUY</x:v>
      </x:c>
      <x:c r="G207" s="17" t="n">
        <x:v>0.0008</x:v>
      </x:c>
      <x:c r="H207" s="18" t="n">
        <x:v>-0.02</x:v>
      </x:c>
      <x:c r="I207" s="18" t="str">
        <x:v>CAD</x:v>
      </x:c>
      <x:c r="J207" s="18" t="n">
        <x:v>318.88</x:v>
      </x:c>
      <x:c r="K207" s="2" t="str">
        <x:v>TFSA-monthly-statement-transactions-DEMO_CAD-2025-04-01.csv</x:v>
      </x:c>
      <x:c r="L207" s="2" t="n">
        <x:v>15</x:v>
      </x:c>
      <x:c r="M207" s="2" t="str">
        <x:v>NVDA - Nvidia Corp: Bought 0.0008 shares (executed at 2025-04-10)</x:v>
      </x:c>
      <x:c r="N207" s="2" t="str">
        <x:v>Imported</x:v>
      </x:c>
      <x:c r="O207" s="17" t="n">
        <x:f>IF(F207="BUY",G207,IF(F207="SELL",-G207,IF(AND(F207="STKREORG",N207="Applied 4-for-1 CDR split"),G207,0)))</x:f>
        <x:v>0.0008</x:v>
      </x:c>
      <x:c r="P207" s="17" t="n">
        <x:f>SUMIF($E$6:E206,E207,$O$6:O206)</x:f>
        <x:v>10</x:v>
      </x:c>
      <x:c r="Q207" s="18" t="n">
        <x:f>SUMIF($E$6:E206,E207,$S$6:S206)</x:f>
        <x:v>290.04999999999995</x:v>
      </x:c>
      <x:c r="R207" s="18" t="n">
        <x:f>IF(P207&gt;0,Q207/P207,0)</x:f>
        <x:v>29.004999999999995</x:v>
      </x:c>
      <x:c r="S207" s="18" t="n">
        <x:f>IF(F207="BUY",-H207,IF(F207="SELL",-G207*R207,0))</x:f>
        <x:v>0.02</x:v>
      </x:c>
      <x:c r="T207" s="18" t="n">
        <x:f>IF(F207="SELL",IF(G207&gt;P207+0.000001,"REVIEW",H207-G207*R207),0)</x:f>
        <x:v>0</x:v>
      </x:c>
      <x:c r="U207" s="17" t="n">
        <x:f>P207+O207</x:f>
        <x:v>10.0008</x:v>
      </x:c>
      <x:c r="V207" s="18" t="n">
        <x:f>Q207+S207</x:f>
        <x:v>290.06999999999994</x:v>
      </x:c>
      <x:c r="W207" s="18" t="n">
        <x:f>IF(F207="DIV",H207,0)</x:f>
        <x:v>0</x:v>
      </x:c>
      <x:c r="X207" s="18" t="n">
        <x:f>IF(F207="CONT",H207,0)</x:f>
        <x:v>0</x:v>
      </x:c>
      <x:c r="Y207" s="2" t="str">
        <x:f>TEXT(C207,"yyyy-mm")</x:f>
        <x:v>2025-04</x:v>
      </x:c>
      <x:c r="Z207" s="2" t="str">
        <x:f>IF(OR(AND(F207="STKREORG",N207&lt;&gt;"Applied 4-for-1 CDR split"),AND(F207="SELL",G207&gt;P207+0.000001)),"REVIEW","OK")</x:f>
        <x:v>OK</x:v>
      </x:c>
    </x:row>
    <x:row r="208" ht="21" customHeight="1">
      <x:c r="A208" s="2"/>
      <x:c r="B208" s="2" t="str">
        <x:v>7b028e44cd3b63376adc</x:v>
      </x:c>
      <x:c r="C208" s="16" t="d">
        <x:v>2025-04-11T00:00:00.000Z</x:v>
      </x:c>
      <x:c r="D208" s="16" t="d">
        <x:v>2025-04-10T00:00:00.000Z</x:v>
      </x:c>
      <x:c r="E208" s="2" t="str">
        <x:v>VFV_ORD</x:v>
      </x:c>
      <x:c r="F208" s="2" t="str">
        <x:v>BUY</x:v>
      </x:c>
      <x:c r="G208" s="17" t="n">
        <x:v>1</x:v>
      </x:c>
      <x:c r="H208" s="18" t="n">
        <x:v>-128.01</x:v>
      </x:c>
      <x:c r="I208" s="18" t="str">
        <x:v>CAD</x:v>
      </x:c>
      <x:c r="J208" s="18" t="n">
        <x:v>190.87</x:v>
      </x:c>
      <x:c r="K208" s="2" t="str">
        <x:v>TFSA-monthly-statement-transactions-DEMO_CAD-2025-04-01.csv</x:v>
      </x:c>
      <x:c r="L208" s="2" t="n">
        <x:v>16</x:v>
      </x:c>
      <x:c r="M208" s="2" t="str">
        <x:v>VFV - Vanguard S&amp;P 500 Index ETF: Bought 1.0000 shares (executed at 2025-04-10)</x:v>
      </x:c>
      <x:c r="N208" s="2" t="str">
        <x:v>Imported</x:v>
      </x:c>
      <x:c r="O208" s="17" t="n">
        <x:f>IF(F208="BUY",G208,IF(F208="SELL",-G208,IF(AND(F208="STKREORG",N208="Applied 4-for-1 CDR split"),G208,0)))</x:f>
        <x:v>1</x:v>
      </x:c>
      <x:c r="P208" s="17" t="n">
        <x:f>SUMIF($E$6:E207,E208,$O$6:O207)</x:f>
        <x:v>45.031</x:v>
      </x:c>
      <x:c r="Q208" s="18" t="n">
        <x:f>SUMIF($E$6:E207,E208,$S$6:S207)</x:f>
        <x:v>6699.199991735695</x:v>
      </x:c>
      <x:c r="R208" s="18" t="n">
        <x:f>IF(P208&gt;0,Q208/P208,0)</x:f>
        <x:v>148.76862587408</x:v>
      </x:c>
      <x:c r="S208" s="18" t="n">
        <x:f>IF(F208="BUY",-H208,IF(F208="SELL",-G208*R208,0))</x:f>
        <x:v>128.01</x:v>
      </x:c>
      <x:c r="T208" s="18" t="n">
        <x:f>IF(F208="SELL",IF(G208&gt;P208+0.000001,"REVIEW",H208-G208*R208),0)</x:f>
        <x:v>0</x:v>
      </x:c>
      <x:c r="U208" s="17" t="n">
        <x:f>P208+O208</x:f>
        <x:v>46.031</x:v>
      </x:c>
      <x:c r="V208" s="18" t="n">
        <x:f>Q208+S208</x:f>
        <x:v>6827.209991735695</x:v>
      </x:c>
      <x:c r="W208" s="18" t="n">
        <x:f>IF(F208="DIV",H208,0)</x:f>
        <x:v>0</x:v>
      </x:c>
      <x:c r="X208" s="18" t="n">
        <x:f>IF(F208="CONT",H208,0)</x:f>
        <x:v>0</x:v>
      </x:c>
      <x:c r="Y208" s="2" t="str">
        <x:f>TEXT(C208,"yyyy-mm")</x:f>
        <x:v>2025-04</x:v>
      </x:c>
      <x:c r="Z208" s="2" t="str">
        <x:f>IF(OR(AND(F208="STKREORG",N208&lt;&gt;"Applied 4-for-1 CDR split"),AND(F208="SELL",G208&gt;P208+0.000001)),"REVIEW","OK")</x:f>
        <x:v>OK</x:v>
      </x:c>
    </x:row>
    <x:row r="209" ht="21" customHeight="1">
      <x:c r="A209" s="2"/>
      <x:c r="B209" s="2" t="str">
        <x:v>67fdd002591d9443f85a</x:v>
      </x:c>
      <x:c r="C209" s="16" t="d">
        <x:v>2025-04-11T00:00:00.000Z</x:v>
      </x:c>
      <x:c r="D209" s="16" t="d">
        <x:v>2025-04-10T00:00:00.000Z</x:v>
      </x:c>
      <x:c r="E209" s="2" t="str">
        <x:v>VFV_ORD</x:v>
      </x:c>
      <x:c r="F209" s="2" t="str">
        <x:v>BUY</x:v>
      </x:c>
      <x:c r="G209" s="17" t="n">
        <x:v>1</x:v>
      </x:c>
      <x:c r="H209" s="18" t="n">
        <x:v>-129.76</x:v>
      </x:c>
      <x:c r="I209" s="18" t="str">
        <x:v>CAD</x:v>
      </x:c>
      <x:c r="J209" s="18" t="n">
        <x:v>61.11</x:v>
      </x:c>
      <x:c r="K209" s="2" t="str">
        <x:v>TFSA-monthly-statement-transactions-DEMO_CAD-2025-04-01.csv</x:v>
      </x:c>
      <x:c r="L209" s="2" t="n">
        <x:v>17</x:v>
      </x:c>
      <x:c r="M209" s="2" t="str">
        <x:v>VFV - Vanguard S&amp;P 500 Index ETF: Bought 1.0000 shares (executed at 2025-04-10)</x:v>
      </x:c>
      <x:c r="N209" s="2" t="str">
        <x:v>Imported</x:v>
      </x:c>
      <x:c r="O209" s="17" t="n">
        <x:f>IF(F209="BUY",G209,IF(F209="SELL",-G209,IF(AND(F209="STKREORG",N209="Applied 4-for-1 CDR split"),G209,0)))</x:f>
        <x:v>1</x:v>
      </x:c>
      <x:c r="P209" s="17" t="n">
        <x:f>SUMIF($E$6:E208,E209,$O$6:O208)</x:f>
        <x:v>46.031</x:v>
      </x:c>
      <x:c r="Q209" s="18" t="n">
        <x:f>SUMIF($E$6:E208,E209,$S$6:S208)</x:f>
        <x:v>6827.209991735695</x:v>
      </x:c>
      <x:c r="R209" s="18" t="n">
        <x:f>IF(P209&gt;0,Q209/P209,0)</x:f>
        <x:v>148.3176553134995</x:v>
      </x:c>
      <x:c r="S209" s="18" t="n">
        <x:f>IF(F209="BUY",-H209,IF(F209="SELL",-G209*R209,0))</x:f>
        <x:v>129.76</x:v>
      </x:c>
      <x:c r="T209" s="18" t="n">
        <x:f>IF(F209="SELL",IF(G209&gt;P209+0.000001,"REVIEW",H209-G209*R209),0)</x:f>
        <x:v>0</x:v>
      </x:c>
      <x:c r="U209" s="17" t="n">
        <x:f>P209+O209</x:f>
        <x:v>47.031</x:v>
      </x:c>
      <x:c r="V209" s="18" t="n">
        <x:f>Q209+S209</x:f>
        <x:v>6956.969991735696</x:v>
      </x:c>
      <x:c r="W209" s="18" t="n">
        <x:f>IF(F209="DIV",H209,0)</x:f>
        <x:v>0</x:v>
      </x:c>
      <x:c r="X209" s="18" t="n">
        <x:f>IF(F209="CONT",H209,0)</x:f>
        <x:v>0</x:v>
      </x:c>
      <x:c r="Y209" s="2" t="str">
        <x:f>TEXT(C209,"yyyy-mm")</x:f>
        <x:v>2025-04</x:v>
      </x:c>
      <x:c r="Z209" s="2" t="str">
        <x:f>IF(OR(AND(F209="STKREORG",N209&lt;&gt;"Applied 4-for-1 CDR split"),AND(F209="SELL",G209&gt;P209+0.000001)),"REVIEW","OK")</x:f>
        <x:v>OK</x:v>
      </x:c>
    </x:row>
    <x:row r="210" ht="21" customHeight="1">
      <x:c r="A210" s="2"/>
      <x:c r="B210" s="2" t="str">
        <x:v>228accf8b8528e7fe7f7</x:v>
      </x:c>
      <x:c r="C210" s="16" t="d">
        <x:v>2025-05-02T00:00:00.000Z</x:v>
      </x:c>
      <x:c r="D210" s="16" t="d">
        <x:v>2025-05-02T00:00:00.000Z</x:v>
      </x:c>
      <x:c r="E210" s="2" t="str">
        <x:v>ZMMK_ORD</x:v>
      </x:c>
      <x:c r="F210" s="2" t="str">
        <x:v>DIV</x:v>
      </x:c>
      <x:c r="G210" s="17" t="n">
        <x:v>0</x:v>
      </x:c>
      <x:c r="H210" s="18" t="n">
        <x:v>18.75</x:v>
      </x:c>
      <x:c r="I210" s="18" t="str">
        <x:v>CAD</x:v>
      </x:c>
      <x:c r="J210" s="18" t="n">
        <x:v>79.86</x:v>
      </x:c>
      <x:c r="K210" s="2" t="str">
        <x:v>TFSA-monthly-statement-transactions-DEMO_CAD-2025-05-01.csv</x:v>
      </x:c>
      <x:c r="L210" s="2" t="n">
        <x:v>2</x:v>
      </x:c>
      <x:c r="M210" s="2" t="str">
        <x:v>ZMMK - BMO Money Market Fund ETF: Cash dividend distribution, received on 2025-05-02, record date of 2025-04-29</x:v>
      </x:c>
      <x:c r="N210" s="2" t="str">
        <x:v>Imported</x:v>
      </x:c>
      <x:c r="O210" s="17" t="n">
        <x:f>IF(F210="BUY",G210,IF(F210="SELL",-G210,IF(AND(F210="STKREORG",N210="Applied 4-for-1 CDR split"),G210,0)))</x:f>
        <x:v>0</x:v>
      </x:c>
      <x:c r="P210" s="17" t="n">
        <x:f>SUMIF($E$6:E209,E210,$O$6:O209)</x:f>
        <x:v>125</x:v>
      </x:c>
      <x:c r="Q210" s="18" t="n">
        <x:f>SUMIF($E$6:E209,E210,$S$6:S209)</x:f>
        <x:v>6240.79</x:v>
      </x:c>
      <x:c r="R210" s="18" t="n">
        <x:f>IF(P210&gt;0,Q210/P210,0)</x:f>
        <x:v>49.92632</x:v>
      </x:c>
      <x:c r="S210" s="18" t="n">
        <x:f>IF(F210="BUY",-H210,IF(F210="SELL",-G210*R210,0))</x:f>
        <x:v>0</x:v>
      </x:c>
      <x:c r="T210" s="18" t="n">
        <x:f>IF(F210="SELL",IF(G210&gt;P210+0.000001,"REVIEW",H210-G210*R210),0)</x:f>
        <x:v>0</x:v>
      </x:c>
      <x:c r="U210" s="17" t="n">
        <x:f>P210+O210</x:f>
        <x:v>125</x:v>
      </x:c>
      <x:c r="V210" s="18" t="n">
        <x:f>Q210+S210</x:f>
        <x:v>6240.79</x:v>
      </x:c>
      <x:c r="W210" s="18" t="n">
        <x:f>IF(F210="DIV",H210,0)</x:f>
        <x:v>18.75</x:v>
      </x:c>
      <x:c r="X210" s="18" t="n">
        <x:f>IF(F210="CONT",H210,0)</x:f>
        <x:v>0</x:v>
      </x:c>
      <x:c r="Y210" s="2" t="str">
        <x:f>TEXT(C210,"yyyy-mm")</x:f>
        <x:v>2025-05</x:v>
      </x:c>
      <x:c r="Z210" s="2" t="str">
        <x:f>IF(OR(AND(F210="STKREORG",N210&lt;&gt;"Applied 4-for-1 CDR split"),AND(F210="SELL",G210&gt;P210+0.000001)),"REVIEW","OK")</x:f>
        <x:v>OK</x:v>
      </x:c>
    </x:row>
    <x:row r="211" ht="21" customHeight="1">
      <x:c r="A211" s="2"/>
      <x:c r="B211" s="2" t="str">
        <x:v>84522bce638a4fd58fd2</x:v>
      </x:c>
      <x:c r="C211" s="16" t="d">
        <x:v>2025-05-06T00:00:00.000Z</x:v>
      </x:c>
      <x:c r="D211" s="16" t="d">
        <x:v>2025-05-05T00:00:00.000Z</x:v>
      </x:c>
      <x:c r="E211" s="2" t="str">
        <x:v>ZMMK_ORD</x:v>
      </x:c>
      <x:c r="F211" s="2" t="str">
        <x:v>BUY</x:v>
      </x:c>
      <x:c r="G211" s="17" t="n">
        <x:v>0.3759</x:v>
      </x:c>
      <x:c r="H211" s="18" t="n">
        <x:v>-18.75</x:v>
      </x:c>
      <x:c r="I211" s="18" t="str">
        <x:v>CAD</x:v>
      </x:c>
      <x:c r="J211" s="18" t="n">
        <x:v>61.11</x:v>
      </x:c>
      <x:c r="K211" s="2" t="str">
        <x:v>TFSA-monthly-statement-transactions-DEMO_CAD-2025-05-01.csv</x:v>
      </x:c>
      <x:c r="L211" s="2" t="n">
        <x:v>3</x:v>
      </x:c>
      <x:c r="M211" s="2" t="str">
        <x:v>ZMMK - BMO Money Market Fund ETF: Bought 0.3759 shares (executed at 2025-05-05)</x:v>
      </x:c>
      <x:c r="N211" s="2" t="str">
        <x:v>Imported</x:v>
      </x:c>
      <x:c r="O211" s="17" t="n">
        <x:f>IF(F211="BUY",G211,IF(F211="SELL",-G211,IF(AND(F211="STKREORG",N211="Applied 4-for-1 CDR split"),G211,0)))</x:f>
        <x:v>0.3759</x:v>
      </x:c>
      <x:c r="P211" s="17" t="n">
        <x:f>SUMIF($E$6:E210,E211,$O$6:O210)</x:f>
        <x:v>125</x:v>
      </x:c>
      <x:c r="Q211" s="18" t="n">
        <x:f>SUMIF($E$6:E210,E211,$S$6:S210)</x:f>
        <x:v>6240.79</x:v>
      </x:c>
      <x:c r="R211" s="18" t="n">
        <x:f>IF(P211&gt;0,Q211/P211,0)</x:f>
        <x:v>49.92632</x:v>
      </x:c>
      <x:c r="S211" s="18" t="n">
        <x:f>IF(F211="BUY",-H211,IF(F211="SELL",-G211*R211,0))</x:f>
        <x:v>18.75</x:v>
      </x:c>
      <x:c r="T211" s="18" t="n">
        <x:f>IF(F211="SELL",IF(G211&gt;P211+0.000001,"REVIEW",H211-G211*R211),0)</x:f>
        <x:v>0</x:v>
      </x:c>
      <x:c r="U211" s="17" t="n">
        <x:f>P211+O211</x:f>
        <x:v>125.3759</x:v>
      </x:c>
      <x:c r="V211" s="18" t="n">
        <x:f>Q211+S211</x:f>
        <x:v>6259.54</x:v>
      </x:c>
      <x:c r="W211" s="18" t="n">
        <x:f>IF(F211="DIV",H211,0)</x:f>
        <x:v>0</x:v>
      </x:c>
      <x:c r="X211" s="18" t="n">
        <x:f>IF(F211="CONT",H211,0)</x:f>
        <x:v>0</x:v>
      </x:c>
      <x:c r="Y211" s="2" t="str">
        <x:f>TEXT(C211,"yyyy-mm")</x:f>
        <x:v>2025-05</x:v>
      </x:c>
      <x:c r="Z211" s="2" t="str">
        <x:f>IF(OR(AND(F211="STKREORG",N211&lt;&gt;"Applied 4-for-1 CDR split"),AND(F211="SELL",G211&gt;P211+0.000001)),"REVIEW","OK")</x:f>
        <x:v>OK</x:v>
      </x:c>
    </x:row>
    <x:row r="212" ht="21" customHeight="1">
      <x:c r="A212" s="2"/>
      <x:c r="B212" s="2" t="str">
        <x:v>09ec8026b25cef2e0015</x:v>
      </x:c>
      <x:c r="C212" s="16" t="d">
        <x:v>2025-05-23T00:00:00.000Z</x:v>
      </x:c>
      <x:c r="D212" s="16" t="d">
        <x:v>2025-05-23T00:00:00.000Z</x:v>
      </x:c>
      <x:c r="E212" s="2" t="str">
        <x:v>AAPL_CDR</x:v>
      </x:c>
      <x:c r="F212" s="2" t="str">
        <x:v>DIV</x:v>
      </x:c>
      <x:c r="G212" s="17" t="n">
        <x:v>0</x:v>
      </x:c>
      <x:c r="H212" s="18" t="n">
        <x:v>0.53</x:v>
      </x:c>
      <x:c r="I212" s="18" t="str">
        <x:v>CAD</x:v>
      </x:c>
      <x:c r="J212" s="18" t="n">
        <x:v>61.64</x:v>
      </x:c>
      <x:c r="K212" s="2" t="str">
        <x:v>TFSA-monthly-statement-transactions-DEMO_CAD-2025-05-01.csv</x:v>
      </x:c>
      <x:c r="L212" s="2" t="n">
        <x:v>4</x:v>
      </x:c>
      <x:c r="M212" s="2" t="str">
        <x:v>AAPL - Apple CDR (CAD Hedged) : Cash dividend distribution, received on 2025-05-23, record date of 2025-05-12</x:v>
      </x:c>
      <x:c r="N212" s="2" t="str">
        <x:v>Imported</x:v>
      </x:c>
      <x:c r="O212" s="17" t="n">
        <x:f>IF(F212="BUY",G212,IF(F212="SELL",-G212,IF(AND(F212="STKREORG",N212="Applied 4-for-1 CDR split"),G212,0)))</x:f>
        <x:v>0</x:v>
      </x:c>
      <x:c r="P212" s="17" t="n">
        <x:f>SUMIF($E$6:E211,E212,$O$6:O211)</x:f>
        <x:v>14</x:v>
      </x:c>
      <x:c r="Q212" s="18" t="n">
        <x:f>SUMIF($E$6:E211,E212,$S$6:S211)</x:f>
        <x:v>398.78</x:v>
      </x:c>
      <x:c r="R212" s="18" t="n">
        <x:f>IF(P212&gt;0,Q212/P212,0)</x:f>
        <x:v>28.48428571428571</x:v>
      </x:c>
      <x:c r="S212" s="18" t="n">
        <x:f>IF(F212="BUY",-H212,IF(F212="SELL",-G212*R212,0))</x:f>
        <x:v>0</x:v>
      </x:c>
      <x:c r="T212" s="18" t="n">
        <x:f>IF(F212="SELL",IF(G212&gt;P212+0.000001,"REVIEW",H212-G212*R212),0)</x:f>
        <x:v>0</x:v>
      </x:c>
      <x:c r="U212" s="17" t="n">
        <x:f>P212+O212</x:f>
        <x:v>14</x:v>
      </x:c>
      <x:c r="V212" s="18" t="n">
        <x:f>Q212+S212</x:f>
        <x:v>398.78</x:v>
      </x:c>
      <x:c r="W212" s="18" t="n">
        <x:f>IF(F212="DIV",H212,0)</x:f>
        <x:v>0.53</x:v>
      </x:c>
      <x:c r="X212" s="18" t="n">
        <x:f>IF(F212="CONT",H212,0)</x:f>
        <x:v>0</x:v>
      </x:c>
      <x:c r="Y212" s="2" t="str">
        <x:f>TEXT(C212,"yyyy-mm")</x:f>
        <x:v>2025-05</x:v>
      </x:c>
      <x:c r="Z212" s="2" t="str">
        <x:f>IF(OR(AND(F212="STKREORG",N212&lt;&gt;"Applied 4-for-1 CDR split"),AND(F212="SELL",G212&gt;P212+0.000001)),"REVIEW","OK")</x:f>
        <x:v>OK</x:v>
      </x:c>
    </x:row>
    <x:row r="213" ht="21" customHeight="1">
      <x:c r="A213" s="2"/>
      <x:c r="B213" s="2" t="str">
        <x:v>afbd25d500de3dd09db6</x:v>
      </x:c>
      <x:c r="C213" s="16" t="d">
        <x:v>2025-05-23T00:00:00.000Z</x:v>
      </x:c>
      <x:c r="D213" s="16" t="d">
        <x:v>2025-05-23T00:00:00.000Z</x:v>
      </x:c>
      <x:c r="E213" s="2" t="str"/>
      <x:c r="F213" s="2" t="str">
        <x:v>NRT</x:v>
      </x:c>
      <x:c r="G213" s="17" t="n">
        <x:v>0</x:v>
      </x:c>
      <x:c r="H213" s="18" t="n">
        <x:v>-0.08</x:v>
      </x:c>
      <x:c r="I213" s="18" t="str">
        <x:v>CAD</x:v>
      </x:c>
      <x:c r="J213" s="18" t="n">
        <x:v>61.56</x:v>
      </x:c>
      <x:c r="K213" s="2" t="str">
        <x:v>TFSA-monthly-statement-transactions-DEMO_CAD-2025-05-01.csv</x:v>
      </x:c>
      <x:c r="L213" s="2" t="n">
        <x:v>5</x:v>
      </x:c>
      <x:c r="M213" s="2" t="str">
        <x:v>Non-resident tax (executed at 2025-05-23)</x:v>
      </x:c>
      <x:c r="N213" s="2" t="str">
        <x:v>Imported</x:v>
      </x:c>
      <x:c r="O213" s="17" t="n">
        <x:f>IF(F213="BUY",G213,IF(F213="SELL",-G213,IF(AND(F213="STKREORG",N213="Applied 4-for-1 CDR split"),G213,0)))</x:f>
        <x:v>0</x:v>
      </x:c>
      <x:c r="P213" s="17" t="n">
        <x:f>SUMIF($E$6:E212,E213,$O$6:O212)</x:f>
        <x:v>0</x:v>
      </x:c>
      <x:c r="Q213" s="18" t="n">
        <x:f>SUMIF($E$6:E212,E213,$S$6:S212)</x:f>
        <x:v>0</x:v>
      </x:c>
      <x:c r="R213" s="18" t="n">
        <x:f>IF(P213&gt;0,Q213/P213,0)</x:f>
        <x:v>0</x:v>
      </x:c>
      <x:c r="S213" s="18" t="n">
        <x:f>IF(F213="BUY",-H213,IF(F213="SELL",-G213*R213,0))</x:f>
        <x:v>0</x:v>
      </x:c>
      <x:c r="T213" s="18" t="n">
        <x:f>IF(F213="SELL",IF(G213&gt;P213+0.000001,"REVIEW",H213-G213*R213),0)</x:f>
        <x:v>0</x:v>
      </x:c>
      <x:c r="U213" s="17" t="n">
        <x:f>P213+O213</x:f>
        <x:v>0</x:v>
      </x:c>
      <x:c r="V213" s="18" t="n">
        <x:f>Q213+S213</x:f>
        <x:v>0</x:v>
      </x:c>
      <x:c r="W213" s="18" t="n">
        <x:f>IF(F213="DIV",H213,0)</x:f>
        <x:v>0</x:v>
      </x:c>
      <x:c r="X213" s="18" t="n">
        <x:f>IF(F213="CONT",H213,0)</x:f>
        <x:v>0</x:v>
      </x:c>
      <x:c r="Y213" s="2" t="str">
        <x:f>TEXT(C213,"yyyy-mm")</x:f>
        <x:v>2025-05</x:v>
      </x:c>
      <x:c r="Z213" s="2" t="str">
        <x:f>IF(OR(AND(F213="STKREORG",N213&lt;&gt;"Applied 4-for-1 CDR split"),AND(F213="SELL",G213&gt;P213+0.000001)),"REVIEW","OK")</x:f>
        <x:v>OK</x:v>
      </x:c>
    </x:row>
    <x:row r="214" ht="21" customHeight="1">
      <x:c r="A214" s="2"/>
      <x:c r="B214" s="2" t="str">
        <x:v>2eddb6551655dec1d08d</x:v>
      </x:c>
      <x:c r="C214" s="16" t="d">
        <x:v>2025-05-23T00:00:00.000Z</x:v>
      </x:c>
      <x:c r="D214" s="16" t="d">
        <x:v>2025-05-23T00:00:00.000Z</x:v>
      </x:c>
      <x:c r="E214" s="2" t="str">
        <x:v>RY_ORD</x:v>
      </x:c>
      <x:c r="F214" s="2" t="str">
        <x:v>DIV</x:v>
      </x:c>
      <x:c r="G214" s="17" t="n">
        <x:v>0</x:v>
      </x:c>
      <x:c r="H214" s="18" t="n">
        <x:v>2.96</x:v>
      </x:c>
      <x:c r="I214" s="18" t="str">
        <x:v>CAD</x:v>
      </x:c>
      <x:c r="J214" s="18" t="n">
        <x:v>64.52</x:v>
      </x:c>
      <x:c r="K214" s="2" t="str">
        <x:v>TFSA-monthly-statement-transactions-DEMO_CAD-2025-05-01.csv</x:v>
      </x:c>
      <x:c r="L214" s="2" t="n">
        <x:v>6</x:v>
      </x:c>
      <x:c r="M214" s="2" t="str">
        <x:v>RY - Royal Bank Of Canada: Cash dividend distribution, received on 2025-05-23, record date of 2025-04-24</x:v>
      </x:c>
      <x:c r="N214" s="2" t="str">
        <x:v>Imported</x:v>
      </x:c>
      <x:c r="O214" s="17" t="n">
        <x:f>IF(F214="BUY",G214,IF(F214="SELL",-G214,IF(AND(F214="STKREORG",N214="Applied 4-for-1 CDR split"),G214,0)))</x:f>
        <x:v>0</x:v>
      </x:c>
      <x:c r="P214" s="17" t="n">
        <x:f>SUMIF($E$6:E213,E214,$O$6:O213)</x:f>
        <x:v>2</x:v>
      </x:c>
      <x:c r="Q214" s="18" t="n">
        <x:f>SUMIF($E$6:E213,E214,$S$6:S213)</x:f>
        <x:v>331.9</x:v>
      </x:c>
      <x:c r="R214" s="18" t="n">
        <x:f>IF(P214&gt;0,Q214/P214,0)</x:f>
        <x:v>165.95</x:v>
      </x:c>
      <x:c r="S214" s="18" t="n">
        <x:f>IF(F214="BUY",-H214,IF(F214="SELL",-G214*R214,0))</x:f>
        <x:v>0</x:v>
      </x:c>
      <x:c r="T214" s="18" t="n">
        <x:f>IF(F214="SELL",IF(G214&gt;P214+0.000001,"REVIEW",H214-G214*R214),0)</x:f>
        <x:v>0</x:v>
      </x:c>
      <x:c r="U214" s="17" t="n">
        <x:f>P214+O214</x:f>
        <x:v>2</x:v>
      </x:c>
      <x:c r="V214" s="18" t="n">
        <x:f>Q214+S214</x:f>
        <x:v>331.9</x:v>
      </x:c>
      <x:c r="W214" s="18" t="n">
        <x:f>IF(F214="DIV",H214,0)</x:f>
        <x:v>2.96</x:v>
      </x:c>
      <x:c r="X214" s="18" t="n">
        <x:f>IF(F214="CONT",H214,0)</x:f>
        <x:v>0</x:v>
      </x:c>
      <x:c r="Y214" s="2" t="str">
        <x:f>TEXT(C214,"yyyy-mm")</x:f>
        <x:v>2025-05</x:v>
      </x:c>
      <x:c r="Z214" s="2" t="str">
        <x:f>IF(OR(AND(F214="STKREORG",N214&lt;&gt;"Applied 4-for-1 CDR split"),AND(F214="SELL",G214&gt;P214+0.000001)),"REVIEW","OK")</x:f>
        <x:v>OK</x:v>
      </x:c>
    </x:row>
    <x:row r="215" ht="21" customHeight="1">
      <x:c r="A215" s="2"/>
      <x:c r="B215" s="2" t="str">
        <x:v>ba7ca86abf9d93f8f79e</x:v>
      </x:c>
      <x:c r="C215" s="16" t="d">
        <x:v>2025-05-26T00:00:00.000Z</x:v>
      </x:c>
      <x:c r="D215" s="16" t="d">
        <x:v>2025-05-23T00:00:00.000Z</x:v>
      </x:c>
      <x:c r="E215" s="2" t="str">
        <x:v>AAPL_CDR</x:v>
      </x:c>
      <x:c r="F215" s="2" t="str">
        <x:v>BUY</x:v>
      </x:c>
      <x:c r="G215" s="17" t="n">
        <x:v>0.0158</x:v>
      </x:c>
      <x:c r="H215" s="18" t="n">
        <x:v>-0.45</x:v>
      </x:c>
      <x:c r="I215" s="18" t="str">
        <x:v>CAD</x:v>
      </x:c>
      <x:c r="J215" s="18" t="n">
        <x:v>64.07</x:v>
      </x:c>
      <x:c r="K215" s="2" t="str">
        <x:v>TFSA-monthly-statement-transactions-DEMO_CAD-2025-05-01.csv</x:v>
      </x:c>
      <x:c r="L215" s="2" t="n">
        <x:v>7</x:v>
      </x:c>
      <x:c r="M215" s="2" t="str">
        <x:v>AAPL - Apple CDR (CAD Hedged) : Bought 0.0158 shares (executed at 2025-05-23)</x:v>
      </x:c>
      <x:c r="N215" s="2" t="str">
        <x:v>Imported</x:v>
      </x:c>
      <x:c r="O215" s="17" t="n">
        <x:f>IF(F215="BUY",G215,IF(F215="SELL",-G215,IF(AND(F215="STKREORG",N215="Applied 4-for-1 CDR split"),G215,0)))</x:f>
        <x:v>0.0158</x:v>
      </x:c>
      <x:c r="P215" s="17" t="n">
        <x:f>SUMIF($E$6:E214,E215,$O$6:O214)</x:f>
        <x:v>14</x:v>
      </x:c>
      <x:c r="Q215" s="18" t="n">
        <x:f>SUMIF($E$6:E214,E215,$S$6:S214)</x:f>
        <x:v>398.78</x:v>
      </x:c>
      <x:c r="R215" s="18" t="n">
        <x:f>IF(P215&gt;0,Q215/P215,0)</x:f>
        <x:v>28.48428571428571</x:v>
      </x:c>
      <x:c r="S215" s="18" t="n">
        <x:f>IF(F215="BUY",-H215,IF(F215="SELL",-G215*R215,0))</x:f>
        <x:v>0.45</x:v>
      </x:c>
      <x:c r="T215" s="18" t="n">
        <x:f>IF(F215="SELL",IF(G215&gt;P215+0.000001,"REVIEW",H215-G215*R215),0)</x:f>
        <x:v>0</x:v>
      </x:c>
      <x:c r="U215" s="17" t="n">
        <x:f>P215+O215</x:f>
        <x:v>14.0158</x:v>
      </x:c>
      <x:c r="V215" s="18" t="n">
        <x:f>Q215+S215</x:f>
        <x:v>399.22999999999996</x:v>
      </x:c>
      <x:c r="W215" s="18" t="n">
        <x:f>IF(F215="DIV",H215,0)</x:f>
        <x:v>0</x:v>
      </x:c>
      <x:c r="X215" s="18" t="n">
        <x:f>IF(F215="CONT",H215,0)</x:f>
        <x:v>0</x:v>
      </x:c>
      <x:c r="Y215" s="2" t="str">
        <x:f>TEXT(C215,"yyyy-mm")</x:f>
        <x:v>2025-05</x:v>
      </x:c>
      <x:c r="Z215" s="2" t="str">
        <x:f>IF(OR(AND(F215="STKREORG",N215&lt;&gt;"Applied 4-for-1 CDR split"),AND(F215="SELL",G215&gt;P215+0.000001)),"REVIEW","OK")</x:f>
        <x:v>OK</x:v>
      </x:c>
    </x:row>
    <x:row r="216" ht="21" customHeight="1">
      <x:c r="A216" s="2"/>
      <x:c r="B216" s="2" t="str">
        <x:v>84ba9a8802c0cd2fcdec</x:v>
      </x:c>
      <x:c r="C216" s="16" t="d">
        <x:v>2025-05-27T00:00:00.000Z</x:v>
      </x:c>
      <x:c r="D216" s="16" t="d">
        <x:v>2025-05-26T00:00:00.000Z</x:v>
      </x:c>
      <x:c r="E216" s="2" t="str">
        <x:v>RY_ORD</x:v>
      </x:c>
      <x:c r="F216" s="2" t="str">
        <x:v>BUY</x:v>
      </x:c>
      <x:c r="G216" s="17" t="n">
        <x:v>0.0167</x:v>
      </x:c>
      <x:c r="H216" s="18" t="n">
        <x:v>-2.95</x:v>
      </x:c>
      <x:c r="I216" s="18" t="str">
        <x:v>CAD</x:v>
      </x:c>
      <x:c r="J216" s="18" t="n">
        <x:v>61.12</x:v>
      </x:c>
      <x:c r="K216" s="2" t="str">
        <x:v>TFSA-monthly-statement-transactions-DEMO_CAD-2025-05-01.csv</x:v>
      </x:c>
      <x:c r="L216" s="2" t="n">
        <x:v>8</x:v>
      </x:c>
      <x:c r="M216" s="2" t="str">
        <x:v>RY - Royal Bank Of Canada: Bought 0.0167 shares (executed at 2025-05-26)</x:v>
      </x:c>
      <x:c r="N216" s="2" t="str">
        <x:v>Imported</x:v>
      </x:c>
      <x:c r="O216" s="17" t="n">
        <x:f>IF(F216="BUY",G216,IF(F216="SELL",-G216,IF(AND(F216="STKREORG",N216="Applied 4-for-1 CDR split"),G216,0)))</x:f>
        <x:v>0.0167</x:v>
      </x:c>
      <x:c r="P216" s="17" t="n">
        <x:f>SUMIF($E$6:E215,E216,$O$6:O215)</x:f>
        <x:v>2</x:v>
      </x:c>
      <x:c r="Q216" s="18" t="n">
        <x:f>SUMIF($E$6:E215,E216,$S$6:S215)</x:f>
        <x:v>331.9</x:v>
      </x:c>
      <x:c r="R216" s="18" t="n">
        <x:f>IF(P216&gt;0,Q216/P216,0)</x:f>
        <x:v>165.95</x:v>
      </x:c>
      <x:c r="S216" s="18" t="n">
        <x:f>IF(F216="BUY",-H216,IF(F216="SELL",-G216*R216,0))</x:f>
        <x:v>2.95</x:v>
      </x:c>
      <x:c r="T216" s="18" t="n">
        <x:f>IF(F216="SELL",IF(G216&gt;P216+0.000001,"REVIEW",H216-G216*R216),0)</x:f>
        <x:v>0</x:v>
      </x:c>
      <x:c r="U216" s="17" t="n">
        <x:f>P216+O216</x:f>
        <x:v>2.0167</x:v>
      </x:c>
      <x:c r="V216" s="18" t="n">
        <x:f>Q216+S216</x:f>
        <x:v>334.84999999999997</x:v>
      </x:c>
      <x:c r="W216" s="18" t="n">
        <x:f>IF(F216="DIV",H216,0)</x:f>
        <x:v>0</x:v>
      </x:c>
      <x:c r="X216" s="18" t="n">
        <x:f>IF(F216="CONT",H216,0)</x:f>
        <x:v>0</x:v>
      </x:c>
      <x:c r="Y216" s="2" t="str">
        <x:f>TEXT(C216,"yyyy-mm")</x:f>
        <x:v>2025-05</x:v>
      </x:c>
      <x:c r="Z216" s="2" t="str">
        <x:f>IF(OR(AND(F216="STKREORG",N216&lt;&gt;"Applied 4-for-1 CDR split"),AND(F216="SELL",G216&gt;P216+0.000001)),"REVIEW","OK")</x:f>
        <x:v>OK</x:v>
      </x:c>
    </x:row>
    <x:row r="217" ht="21" customHeight="1">
      <x:c r="A217" s="2"/>
      <x:c r="B217" s="2" t="str">
        <x:v>6e576e5d50b6cf18b3c7</x:v>
      </x:c>
      <x:c r="C217" s="16" t="d">
        <x:v>2025-06-03T00:00:00.000Z</x:v>
      </x:c>
      <x:c r="D217" s="16" t="d">
        <x:v>2025-06-03T00:00:00.000Z</x:v>
      </x:c>
      <x:c r="E217" s="2" t="str">
        <x:v>ZMMK_ORD</x:v>
      </x:c>
      <x:c r="F217" s="2" t="str">
        <x:v>DIV</x:v>
      </x:c>
      <x:c r="G217" s="17" t="n">
        <x:v>0</x:v>
      </x:c>
      <x:c r="H217" s="18" t="n">
        <x:v>15.05</x:v>
      </x:c>
      <x:c r="I217" s="18" t="str">
        <x:v>CAD</x:v>
      </x:c>
      <x:c r="J217" s="18" t="n">
        <x:v>76.17</x:v>
      </x:c>
      <x:c r="K217" s="2" t="str">
        <x:v>TFSA-monthly-statement-transactions-DEMO_CAD-2025-06-01.csv</x:v>
      </x:c>
      <x:c r="L217" s="2" t="n">
        <x:v>2</x:v>
      </x:c>
      <x:c r="M217" s="2" t="str">
        <x:v>ZMMK - BMO Money Market Fund ETF: Cash dividend distribution, received on 2025-06-03, record date of 2025-05-29</x:v>
      </x:c>
      <x:c r="N217" s="2" t="str">
        <x:v>Imported</x:v>
      </x:c>
      <x:c r="O217" s="17" t="n">
        <x:f>IF(F217="BUY",G217,IF(F217="SELL",-G217,IF(AND(F217="STKREORG",N217="Applied 4-for-1 CDR split"),G217,0)))</x:f>
        <x:v>0</x:v>
      </x:c>
      <x:c r="P217" s="17" t="n">
        <x:f>SUMIF($E$6:E216,E217,$O$6:O216)</x:f>
        <x:v>125.3759</x:v>
      </x:c>
      <x:c r="Q217" s="18" t="n">
        <x:f>SUMIF($E$6:E216,E217,$S$6:S216)</x:f>
        <x:v>6259.54</x:v>
      </x:c>
      <x:c r="R217" s="18" t="n">
        <x:f>IF(P217&gt;0,Q217/P217,0)</x:f>
        <x:v>49.926181985533105</x:v>
      </x:c>
      <x:c r="S217" s="18" t="n">
        <x:f>IF(F217="BUY",-H217,IF(F217="SELL",-G217*R217,0))</x:f>
        <x:v>0</x:v>
      </x:c>
      <x:c r="T217" s="18" t="n">
        <x:f>IF(F217="SELL",IF(G217&gt;P217+0.000001,"REVIEW",H217-G217*R217),0)</x:f>
        <x:v>0</x:v>
      </x:c>
      <x:c r="U217" s="17" t="n">
        <x:f>P217+O217</x:f>
        <x:v>125.3759</x:v>
      </x:c>
      <x:c r="V217" s="18" t="n">
        <x:f>Q217+S217</x:f>
        <x:v>6259.54</x:v>
      </x:c>
      <x:c r="W217" s="18" t="n">
        <x:f>IF(F217="DIV",H217,0)</x:f>
        <x:v>15.05</x:v>
      </x:c>
      <x:c r="X217" s="18" t="n">
        <x:f>IF(F217="CONT",H217,0)</x:f>
        <x:v>0</x:v>
      </x:c>
      <x:c r="Y217" s="2" t="str">
        <x:f>TEXT(C217,"yyyy-mm")</x:f>
        <x:v>2025-06</x:v>
      </x:c>
      <x:c r="Z217" s="2" t="str">
        <x:f>IF(OR(AND(F217="STKREORG",N217&lt;&gt;"Applied 4-for-1 CDR split"),AND(F217="SELL",G217&gt;P217+0.000001)),"REVIEW","OK")</x:f>
        <x:v>OK</x:v>
      </x:c>
    </x:row>
    <x:row r="218" ht="21" customHeight="1">
      <x:c r="A218" s="2"/>
      <x:c r="B218" s="2" t="str">
        <x:v>db892dcbc29c23d06685</x:v>
      </x:c>
      <x:c r="C218" s="16" t="d">
        <x:v>2025-06-05T00:00:00.000Z</x:v>
      </x:c>
      <x:c r="D218" s="16" t="d">
        <x:v>2025-06-04T00:00:00.000Z</x:v>
      </x:c>
      <x:c r="E218" s="2" t="str">
        <x:v>ZMMK_ORD</x:v>
      </x:c>
      <x:c r="F218" s="2" t="str">
        <x:v>BUY</x:v>
      </x:c>
      <x:c r="G218" s="17" t="n">
        <x:v>0.3017</x:v>
      </x:c>
      <x:c r="H218" s="18" t="n">
        <x:v>-15.05</x:v>
      </x:c>
      <x:c r="I218" s="18" t="str">
        <x:v>CAD</x:v>
      </x:c>
      <x:c r="J218" s="18" t="n">
        <x:v>61.12</x:v>
      </x:c>
      <x:c r="K218" s="2" t="str">
        <x:v>TFSA-monthly-statement-transactions-DEMO_CAD-2025-06-01.csv</x:v>
      </x:c>
      <x:c r="L218" s="2" t="n">
        <x:v>3</x:v>
      </x:c>
      <x:c r="M218" s="2" t="str">
        <x:v>ZMMK - BMO Money Market Fund ETF: Bought 0.3017 shares (executed at 2025-06-04)</x:v>
      </x:c>
      <x:c r="N218" s="2" t="str">
        <x:v>Imported</x:v>
      </x:c>
      <x:c r="O218" s="17" t="n">
        <x:f>IF(F218="BUY",G218,IF(F218="SELL",-G218,IF(AND(F218="STKREORG",N218="Applied 4-for-1 CDR split"),G218,0)))</x:f>
        <x:v>0.3017</x:v>
      </x:c>
      <x:c r="P218" s="17" t="n">
        <x:f>SUMIF($E$6:E217,E218,$O$6:O217)</x:f>
        <x:v>125.3759</x:v>
      </x:c>
      <x:c r="Q218" s="18" t="n">
        <x:f>SUMIF($E$6:E217,E218,$S$6:S217)</x:f>
        <x:v>6259.54</x:v>
      </x:c>
      <x:c r="R218" s="18" t="n">
        <x:f>IF(P218&gt;0,Q218/P218,0)</x:f>
        <x:v>49.926181985533105</x:v>
      </x:c>
      <x:c r="S218" s="18" t="n">
        <x:f>IF(F218="BUY",-H218,IF(F218="SELL",-G218*R218,0))</x:f>
        <x:v>15.05</x:v>
      </x:c>
      <x:c r="T218" s="18" t="n">
        <x:f>IF(F218="SELL",IF(G218&gt;P218+0.000001,"REVIEW",H218-G218*R218),0)</x:f>
        <x:v>0</x:v>
      </x:c>
      <x:c r="U218" s="17" t="n">
        <x:f>P218+O218</x:f>
        <x:v>125.6776</x:v>
      </x:c>
      <x:c r="V218" s="18" t="n">
        <x:f>Q218+S218</x:f>
        <x:v>6274.59</x:v>
      </x:c>
      <x:c r="W218" s="18" t="n">
        <x:f>IF(F218="DIV",H218,0)</x:f>
        <x:v>0</x:v>
      </x:c>
      <x:c r="X218" s="18" t="n">
        <x:f>IF(F218="CONT",H218,0)</x:f>
        <x:v>0</x:v>
      </x:c>
      <x:c r="Y218" s="2" t="str">
        <x:f>TEXT(C218,"yyyy-mm")</x:f>
        <x:v>2025-06</x:v>
      </x:c>
      <x:c r="Z218" s="2" t="str">
        <x:f>IF(OR(AND(F218="STKREORG",N218&lt;&gt;"Applied 4-for-1 CDR split"),AND(F218="SELL",G218&gt;P218+0.000001)),"REVIEW","OK")</x:f>
        <x:v>OK</x:v>
      </x:c>
    </x:row>
    <x:row r="219" ht="21" customHeight="1">
      <x:c r="A219" s="2"/>
      <x:c r="B219" s="2" t="str">
        <x:v>8a2863275b9ff417a02a</x:v>
      </x:c>
      <x:c r="C219" s="16" t="d">
        <x:v>2025-06-30T00:00:00.000Z</x:v>
      </x:c>
      <x:c r="D219" s="16" t="d">
        <x:v>2025-06-30T00:00:00.000Z</x:v>
      </x:c>
      <x:c r="E219" s="2" t="str">
        <x:v>XEQT_ORD</x:v>
      </x:c>
      <x:c r="F219" s="2" t="str">
        <x:v>DIV</x:v>
      </x:c>
      <x:c r="G219" s="17" t="n">
        <x:v>0</x:v>
      </x:c>
      <x:c r="H219" s="18" t="n">
        <x:v>31.94</x:v>
      </x:c>
      <x:c r="I219" s="18" t="str">
        <x:v>CAD</x:v>
      </x:c>
      <x:c r="J219" s="18" t="n">
        <x:v>93.06</x:v>
      </x:c>
      <x:c r="K219" s="2" t="str">
        <x:v>TFSA-monthly-statement-transactions-DEMO_CAD-2025-06-01.csv</x:v>
      </x:c>
      <x:c r="L219" s="2" t="n">
        <x:v>4</x:v>
      </x:c>
      <x:c r="M219" s="2" t="str">
        <x:v>XEQT - iShares Core Equity ETF Portfolio: Cash dividend distribution, received on 2025-06-30, record date of 2025-06-25</x:v>
      </x:c>
      <x:c r="N219" s="2" t="str">
        <x:v>Imported</x:v>
      </x:c>
      <x:c r="O219" s="17" t="n">
        <x:f>IF(F219="BUY",G219,IF(F219="SELL",-G219,IF(AND(F219="STKREORG",N219="Applied 4-for-1 CDR split"),G219,0)))</x:f>
        <x:v>0</x:v>
      </x:c>
      <x:c r="P219" s="17" t="n">
        <x:f>SUMIF($E$6:E218,E219,$O$6:O218)</x:f>
        <x:v>119.6174</x:v>
      </x:c>
      <x:c r="Q219" s="18" t="n">
        <x:f>SUMIF($E$6:E218,E219,$S$6:S218)</x:f>
        <x:v>4102.8446449298835</x:v>
      </x:c>
      <x:c r="R219" s="18" t="n">
        <x:f>IF(P219&gt;0,Q219/P219,0)</x:f>
        <x:v>34.29973101680762</x:v>
      </x:c>
      <x:c r="S219" s="18" t="n">
        <x:f>IF(F219="BUY",-H219,IF(F219="SELL",-G219*R219,0))</x:f>
        <x:v>0</x:v>
      </x:c>
      <x:c r="T219" s="18" t="n">
        <x:f>IF(F219="SELL",IF(G219&gt;P219+0.000001,"REVIEW",H219-G219*R219),0)</x:f>
        <x:v>0</x:v>
      </x:c>
      <x:c r="U219" s="17" t="n">
        <x:f>P219+O219</x:f>
        <x:v>119.6174</x:v>
      </x:c>
      <x:c r="V219" s="18" t="n">
        <x:f>Q219+S219</x:f>
        <x:v>4102.8446449298835</x:v>
      </x:c>
      <x:c r="W219" s="18" t="n">
        <x:f>IF(F219="DIV",H219,0)</x:f>
        <x:v>31.94</x:v>
      </x:c>
      <x:c r="X219" s="18" t="n">
        <x:f>IF(F219="CONT",H219,0)</x:f>
        <x:v>0</x:v>
      </x:c>
      <x:c r="Y219" s="2" t="str">
        <x:f>TEXT(C219,"yyyy-mm")</x:f>
        <x:v>2025-06</x:v>
      </x:c>
      <x:c r="Z219" s="2" t="str">
        <x:f>IF(OR(AND(F219="STKREORG",N219&lt;&gt;"Applied 4-for-1 CDR split"),AND(F219="SELL",G219&gt;P219+0.000001)),"REVIEW","OK")</x:f>
        <x:v>OK</x:v>
      </x:c>
    </x:row>
    <x:row r="220" ht="21" customHeight="1">
      <x:c r="A220" s="2"/>
      <x:c r="B220" s="2" t="str">
        <x:v>02d03bfa9854a43535a3</x:v>
      </x:c>
      <x:c r="C220" s="16" t="d">
        <x:v>2025-07-03T00:00:00.000Z</x:v>
      </x:c>
      <x:c r="D220" s="16" t="d">
        <x:v>2025-07-02T00:00:00.000Z</x:v>
      </x:c>
      <x:c r="E220" s="2" t="str">
        <x:v>XEQT_ORD</x:v>
      </x:c>
      <x:c r="F220" s="2" t="str">
        <x:v>BUY</x:v>
      </x:c>
      <x:c r="G220" s="17" t="n">
        <x:v>0.8997</x:v>
      </x:c>
      <x:c r="H220" s="18" t="n">
        <x:v>-31.94</x:v>
      </x:c>
      <x:c r="I220" s="18" t="str">
        <x:v>CAD</x:v>
      </x:c>
      <x:c r="J220" s="18" t="n">
        <x:v>61.12</x:v>
      </x:c>
      <x:c r="K220" s="2" t="str">
        <x:v>TFSA-monthly-statement-transactions-DEMO_CAD-2025-07-01.csv</x:v>
      </x:c>
      <x:c r="L220" s="2" t="n">
        <x:v>2</x:v>
      </x:c>
      <x:c r="M220" s="2" t="str">
        <x:v>XEQT - iShares Core Equity ETF Portfolio: Bought 0.8997 shares (executed at 2025-07-02)</x:v>
      </x:c>
      <x:c r="N220" s="2" t="str">
        <x:v>Imported</x:v>
      </x:c>
      <x:c r="O220" s="17" t="n">
        <x:f>IF(F220="BUY",G220,IF(F220="SELL",-G220,IF(AND(F220="STKREORG",N220="Applied 4-for-1 CDR split"),G220,0)))</x:f>
        <x:v>0.8997</x:v>
      </x:c>
      <x:c r="P220" s="17" t="n">
        <x:f>SUMIF($E$6:E219,E220,$O$6:O219)</x:f>
        <x:v>119.6174</x:v>
      </x:c>
      <x:c r="Q220" s="18" t="n">
        <x:f>SUMIF($E$6:E219,E220,$S$6:S219)</x:f>
        <x:v>4102.8446449298835</x:v>
      </x:c>
      <x:c r="R220" s="18" t="n">
        <x:f>IF(P220&gt;0,Q220/P220,0)</x:f>
        <x:v>34.29973101680762</x:v>
      </x:c>
      <x:c r="S220" s="18" t="n">
        <x:f>IF(F220="BUY",-H220,IF(F220="SELL",-G220*R220,0))</x:f>
        <x:v>31.94</x:v>
      </x:c>
      <x:c r="T220" s="18" t="n">
        <x:f>IF(F220="SELL",IF(G220&gt;P220+0.000001,"REVIEW",H220-G220*R220),0)</x:f>
        <x:v>0</x:v>
      </x:c>
      <x:c r="U220" s="17" t="n">
        <x:f>P220+O220</x:f>
        <x:v>120.5171</x:v>
      </x:c>
      <x:c r="V220" s="18" t="n">
        <x:f>Q220+S220</x:f>
        <x:v>4134.784644929883</x:v>
      </x:c>
      <x:c r="W220" s="18" t="n">
        <x:f>IF(F220="DIV",H220,0)</x:f>
        <x:v>0</x:v>
      </x:c>
      <x:c r="X220" s="18" t="n">
        <x:f>IF(F220="CONT",H220,0)</x:f>
        <x:v>0</x:v>
      </x:c>
      <x:c r="Y220" s="2" t="str">
        <x:f>TEXT(C220,"yyyy-mm")</x:f>
        <x:v>2025-07</x:v>
      </x:c>
      <x:c r="Z220" s="2" t="str">
        <x:f>IF(OR(AND(F220="STKREORG",N220&lt;&gt;"Applied 4-for-1 CDR split"),AND(F220="SELL",G220&gt;P220+0.000001)),"REVIEW","OK")</x:f>
        <x:v>OK</x:v>
      </x:c>
    </x:row>
    <x:row r="221" ht="21" customHeight="1">
      <x:c r="A221" s="2"/>
      <x:c r="B221" s="2" t="str">
        <x:v>b9a223b26594f5d61819</x:v>
      </x:c>
      <x:c r="C221" s="16" t="d">
        <x:v>2025-07-03T00:00:00.000Z</x:v>
      </x:c>
      <x:c r="D221" s="16" t="d">
        <x:v>2025-07-03T00:00:00.000Z</x:v>
      </x:c>
      <x:c r="E221" s="2" t="str">
        <x:v>ZMMK_ORD</x:v>
      </x:c>
      <x:c r="F221" s="2" t="str">
        <x:v>DIV</x:v>
      </x:c>
      <x:c r="G221" s="17" t="n">
        <x:v>0</x:v>
      </x:c>
      <x:c r="H221" s="18" t="n">
        <x:v>15.08</x:v>
      </x:c>
      <x:c r="I221" s="18" t="str">
        <x:v>CAD</x:v>
      </x:c>
      <x:c r="J221" s="18" t="n">
        <x:v>76.2</x:v>
      </x:c>
      <x:c r="K221" s="2" t="str">
        <x:v>TFSA-monthly-statement-transactions-DEMO_CAD-2025-07-01.csv</x:v>
      </x:c>
      <x:c r="L221" s="2" t="n">
        <x:v>3</x:v>
      </x:c>
      <x:c r="M221" s="2" t="str">
        <x:v>ZMMK - BMO Money Market Fund ETF: Cash dividend distribution, received on 2025-07-03, record date of 2025-06-27</x:v>
      </x:c>
      <x:c r="N221" s="2" t="str">
        <x:v>Imported</x:v>
      </x:c>
      <x:c r="O221" s="17" t="n">
        <x:f>IF(F221="BUY",G221,IF(F221="SELL",-G221,IF(AND(F221="STKREORG",N221="Applied 4-for-1 CDR split"),G221,0)))</x:f>
        <x:v>0</x:v>
      </x:c>
      <x:c r="P221" s="17" t="n">
        <x:f>SUMIF($E$6:E220,E221,$O$6:O220)</x:f>
        <x:v>125.6776</x:v>
      </x:c>
      <x:c r="Q221" s="18" t="n">
        <x:f>SUMIF($E$6:E220,E221,$S$6:S220)</x:f>
        <x:v>6274.59</x:v>
      </x:c>
      <x:c r="R221" s="18" t="n">
        <x:f>IF(P221&gt;0,Q221/P221,0)</x:f>
        <x:v>49.926080701732054</x:v>
      </x:c>
      <x:c r="S221" s="18" t="n">
        <x:f>IF(F221="BUY",-H221,IF(F221="SELL",-G221*R221,0))</x:f>
        <x:v>0</x:v>
      </x:c>
      <x:c r="T221" s="18" t="n">
        <x:f>IF(F221="SELL",IF(G221&gt;P221+0.000001,"REVIEW",H221-G221*R221),0)</x:f>
        <x:v>0</x:v>
      </x:c>
      <x:c r="U221" s="17" t="n">
        <x:f>P221+O221</x:f>
        <x:v>125.6776</x:v>
      </x:c>
      <x:c r="V221" s="18" t="n">
        <x:f>Q221+S221</x:f>
        <x:v>6274.59</x:v>
      </x:c>
      <x:c r="W221" s="18" t="n">
        <x:f>IF(F221="DIV",H221,0)</x:f>
        <x:v>15.08</x:v>
      </x:c>
      <x:c r="X221" s="18" t="n">
        <x:f>IF(F221="CONT",H221,0)</x:f>
        <x:v>0</x:v>
      </x:c>
      <x:c r="Y221" s="2" t="str">
        <x:f>TEXT(C221,"yyyy-mm")</x:f>
        <x:v>2025-07</x:v>
      </x:c>
      <x:c r="Z221" s="2" t="str">
        <x:f>IF(OR(AND(F221="STKREORG",N221&lt;&gt;"Applied 4-for-1 CDR split"),AND(F221="SELL",G221&gt;P221+0.000001)),"REVIEW","OK")</x:f>
        <x:v>OK</x:v>
      </x:c>
    </x:row>
    <x:row r="222" ht="21" customHeight="1">
      <x:c r="A222" s="2"/>
      <x:c r="B222" s="2" t="str">
        <x:v>13fed2cb3eab0ae20602</x:v>
      </x:c>
      <x:c r="C222" s="16" t="d">
        <x:v>2025-07-07T00:00:00.000Z</x:v>
      </x:c>
      <x:c r="D222" s="16" t="d">
        <x:v>2025-07-04T00:00:00.000Z</x:v>
      </x:c>
      <x:c r="E222" s="2" t="str">
        <x:v>ZMMK_ORD</x:v>
      </x:c>
      <x:c r="F222" s="2" t="str">
        <x:v>BUY</x:v>
      </x:c>
      <x:c r="G222" s="17" t="n">
        <x:v>0.3023</x:v>
      </x:c>
      <x:c r="H222" s="18" t="n">
        <x:v>-15.08</x:v>
      </x:c>
      <x:c r="I222" s="18" t="str">
        <x:v>CAD</x:v>
      </x:c>
      <x:c r="J222" s="18" t="n">
        <x:v>61.12</x:v>
      </x:c>
      <x:c r="K222" s="2" t="str">
        <x:v>TFSA-monthly-statement-transactions-DEMO_CAD-2025-07-01.csv</x:v>
      </x:c>
      <x:c r="L222" s="2" t="n">
        <x:v>4</x:v>
      </x:c>
      <x:c r="M222" s="2" t="str">
        <x:v>ZMMK - BMO Money Market Fund ETF: Bought 0.3023 shares (executed at 2025-07-04)</x:v>
      </x:c>
      <x:c r="N222" s="2" t="str">
        <x:v>Imported</x:v>
      </x:c>
      <x:c r="O222" s="17" t="n">
        <x:f>IF(F222="BUY",G222,IF(F222="SELL",-G222,IF(AND(F222="STKREORG",N222="Applied 4-for-1 CDR split"),G222,0)))</x:f>
        <x:v>0.3023</x:v>
      </x:c>
      <x:c r="P222" s="17" t="n">
        <x:f>SUMIF($E$6:E221,E222,$O$6:O221)</x:f>
        <x:v>125.6776</x:v>
      </x:c>
      <x:c r="Q222" s="18" t="n">
        <x:f>SUMIF($E$6:E221,E222,$S$6:S221)</x:f>
        <x:v>6274.59</x:v>
      </x:c>
      <x:c r="R222" s="18" t="n">
        <x:f>IF(P222&gt;0,Q222/P222,0)</x:f>
        <x:v>49.926080701732054</x:v>
      </x:c>
      <x:c r="S222" s="18" t="n">
        <x:f>IF(F222="BUY",-H222,IF(F222="SELL",-G222*R222,0))</x:f>
        <x:v>15.08</x:v>
      </x:c>
      <x:c r="T222" s="18" t="n">
        <x:f>IF(F222="SELL",IF(G222&gt;P222+0.000001,"REVIEW",H222-G222*R222),0)</x:f>
        <x:v>0</x:v>
      </x:c>
      <x:c r="U222" s="17" t="n">
        <x:f>P222+O222</x:f>
        <x:v>125.9799</x:v>
      </x:c>
      <x:c r="V222" s="18" t="n">
        <x:f>Q222+S222</x:f>
        <x:v>6289.67</x:v>
      </x:c>
      <x:c r="W222" s="18" t="n">
        <x:f>IF(F222="DIV",H222,0)</x:f>
        <x:v>0</x:v>
      </x:c>
      <x:c r="X222" s="18" t="n">
        <x:f>IF(F222="CONT",H222,0)</x:f>
        <x:v>0</x:v>
      </x:c>
      <x:c r="Y222" s="2" t="str">
        <x:f>TEXT(C222,"yyyy-mm")</x:f>
        <x:v>2025-07</x:v>
      </x:c>
      <x:c r="Z222" s="2" t="str">
        <x:f>IF(OR(AND(F222="STKREORG",N222&lt;&gt;"Applied 4-for-1 CDR split"),AND(F222="SELL",G222&gt;P222+0.000001)),"REVIEW","OK")</x:f>
        <x:v>OK</x:v>
      </x:c>
    </x:row>
    <x:row r="223" ht="21" customHeight="1">
      <x:c r="A223" s="2"/>
      <x:c r="B223" s="2" t="str">
        <x:v>55b4417550848f9003e0</x:v>
      </x:c>
      <x:c r="C223" s="16" t="d">
        <x:v>2025-07-08T00:00:00.000Z</x:v>
      </x:c>
      <x:c r="D223" s="16" t="d">
        <x:v>2025-07-08T00:00:00.000Z</x:v>
      </x:c>
      <x:c r="E223" s="2" t="str">
        <x:v>VFV_ORD</x:v>
      </x:c>
      <x:c r="F223" s="2" t="str">
        <x:v>DIV</x:v>
      </x:c>
      <x:c r="G223" s="17" t="n">
        <x:v>0</x:v>
      </x:c>
      <x:c r="H223" s="18" t="n">
        <x:v>17.36</x:v>
      </x:c>
      <x:c r="I223" s="18" t="str">
        <x:v>CAD</x:v>
      </x:c>
      <x:c r="J223" s="18" t="n">
        <x:v>78.48</x:v>
      </x:c>
      <x:c r="K223" s="2" t="str">
        <x:v>TFSA-monthly-statement-transactions-DEMO_CAD-2025-07-01.csv</x:v>
      </x:c>
      <x:c r="L223" s="2" t="n">
        <x:v>5</x:v>
      </x:c>
      <x:c r="M223" s="2" t="str">
        <x:v>VFV - Vanguard S&amp;P 500 Index ETF: Cash dividend distribution, received on 2025-07-08, record date of 2025-06-30</x:v>
      </x:c>
      <x:c r="N223" s="2" t="str">
        <x:v>Imported</x:v>
      </x:c>
      <x:c r="O223" s="17" t="n">
        <x:f>IF(F223="BUY",G223,IF(F223="SELL",-G223,IF(AND(F223="STKREORG",N223="Applied 4-for-1 CDR split"),G223,0)))</x:f>
        <x:v>0</x:v>
      </x:c>
      <x:c r="P223" s="17" t="n">
        <x:f>SUMIF($E$6:E222,E223,$O$6:O222)</x:f>
        <x:v>47.031</x:v>
      </x:c>
      <x:c r="Q223" s="18" t="n">
        <x:f>SUMIF($E$6:E222,E223,$S$6:S222)</x:f>
        <x:v>6956.969991735696</x:v>
      </x:c>
      <x:c r="R223" s="18" t="n">
        <x:f>IF(P223&gt;0,Q223/P223,0)</x:f>
        <x:v>147.9230718406093</x:v>
      </x:c>
      <x:c r="S223" s="18" t="n">
        <x:f>IF(F223="BUY",-H223,IF(F223="SELL",-G223*R223,0))</x:f>
        <x:v>0</x:v>
      </x:c>
      <x:c r="T223" s="18" t="n">
        <x:f>IF(F223="SELL",IF(G223&gt;P223+0.000001,"REVIEW",H223-G223*R223),0)</x:f>
        <x:v>0</x:v>
      </x:c>
      <x:c r="U223" s="17" t="n">
        <x:f>P223+O223</x:f>
        <x:v>47.031</x:v>
      </x:c>
      <x:c r="V223" s="18" t="n">
        <x:f>Q223+S223</x:f>
        <x:v>6956.969991735696</x:v>
      </x:c>
      <x:c r="W223" s="18" t="n">
        <x:f>IF(F223="DIV",H223,0)</x:f>
        <x:v>17.36</x:v>
      </x:c>
      <x:c r="X223" s="18" t="n">
        <x:f>IF(F223="CONT",H223,0)</x:f>
        <x:v>0</x:v>
      </x:c>
      <x:c r="Y223" s="2" t="str">
        <x:f>TEXT(C223,"yyyy-mm")</x:f>
        <x:v>2025-07</x:v>
      </x:c>
      <x:c r="Z223" s="2" t="str">
        <x:f>IF(OR(AND(F223="STKREORG",N223&lt;&gt;"Applied 4-for-1 CDR split"),AND(F223="SELL",G223&gt;P223+0.000001)),"REVIEW","OK")</x:f>
        <x:v>OK</x:v>
      </x:c>
    </x:row>
    <x:row r="224" ht="21" customHeight="1">
      <x:c r="A224" s="2"/>
      <x:c r="B224" s="2" t="str">
        <x:v>9fc73f2853133487cc8c</x:v>
      </x:c>
      <x:c r="C224" s="16" t="d">
        <x:v>2025-07-08T00:00:00.000Z</x:v>
      </x:c>
      <x:c r="D224" s="16" t="d">
        <x:v>2025-07-08T00:00:00.000Z</x:v>
      </x:c>
      <x:c r="E224" s="2" t="str">
        <x:v>TEC_ORD</x:v>
      </x:c>
      <x:c r="F224" s="2" t="str">
        <x:v>DIV</x:v>
      </x:c>
      <x:c r="G224" s="17" t="n">
        <x:v>0</x:v>
      </x:c>
      <x:c r="H224" s="18" t="n">
        <x:v>0.2</x:v>
      </x:c>
      <x:c r="I224" s="18" t="str">
        <x:v>CAD</x:v>
      </x:c>
      <x:c r="J224" s="18" t="n">
        <x:v>78.68</x:v>
      </x:c>
      <x:c r="K224" s="2" t="str">
        <x:v>TFSA-monthly-statement-transactions-DEMO_CAD-2025-07-01.csv</x:v>
      </x:c>
      <x:c r="L224" s="2" t="n">
        <x:v>6</x:v>
      </x:c>
      <x:c r="M224" s="2" t="str">
        <x:v>TEC - TD Global Tech Leaders Index ETF: Cash dividend distribution, received on 2025-07-08, record date of 2025-06-27</x:v>
      </x:c>
      <x:c r="N224" s="2" t="str">
        <x:v>Imported</x:v>
      </x:c>
      <x:c r="O224" s="17" t="n">
        <x:f>IF(F224="BUY",G224,IF(F224="SELL",-G224,IF(AND(F224="STKREORG",N224="Applied 4-for-1 CDR split"),G224,0)))</x:f>
        <x:v>0</x:v>
      </x:c>
      <x:c r="P224" s="17" t="n">
        <x:f>SUMIF($E$6:E223,E224,$O$6:O223)</x:f>
        <x:v>20</x:v>
      </x:c>
      <x:c r="Q224" s="18" t="n">
        <x:f>SUMIF($E$6:E223,E224,$S$6:S223)</x:f>
        <x:v>892.8</x:v>
      </x:c>
      <x:c r="R224" s="18" t="n">
        <x:f>IF(P224&gt;0,Q224/P224,0)</x:f>
        <x:v>44.64</x:v>
      </x:c>
      <x:c r="S224" s="18" t="n">
        <x:f>IF(F224="BUY",-H224,IF(F224="SELL",-G224*R224,0))</x:f>
        <x:v>0</x:v>
      </x:c>
      <x:c r="T224" s="18" t="n">
        <x:f>IF(F224="SELL",IF(G224&gt;P224+0.000001,"REVIEW",H224-G224*R224),0)</x:f>
        <x:v>0</x:v>
      </x:c>
      <x:c r="U224" s="17" t="n">
        <x:f>P224+O224</x:f>
        <x:v>20</x:v>
      </x:c>
      <x:c r="V224" s="18" t="n">
        <x:f>Q224+S224</x:f>
        <x:v>892.8</x:v>
      </x:c>
      <x:c r="W224" s="18" t="n">
        <x:f>IF(F224="DIV",H224,0)</x:f>
        <x:v>0.2</x:v>
      </x:c>
      <x:c r="X224" s="18" t="n">
        <x:f>IF(F224="CONT",H224,0)</x:f>
        <x:v>0</x:v>
      </x:c>
      <x:c r="Y224" s="2" t="str">
        <x:f>TEXT(C224,"yyyy-mm")</x:f>
        <x:v>2025-07</x:v>
      </x:c>
      <x:c r="Z224" s="2" t="str">
        <x:f>IF(OR(AND(F224="STKREORG",N224&lt;&gt;"Applied 4-for-1 CDR split"),AND(F224="SELL",G224&gt;P224+0.000001)),"REVIEW","OK")</x:f>
        <x:v>OK</x:v>
      </x:c>
    </x:row>
    <x:row r="225" ht="21" customHeight="1">
      <x:c r="A225" s="2"/>
      <x:c r="B225" s="2" t="str">
        <x:v>ccdedadc9bf1cd7bf556</x:v>
      </x:c>
      <x:c r="C225" s="16" t="d">
        <x:v>2025-07-10T00:00:00.000Z</x:v>
      </x:c>
      <x:c r="D225" s="16" t="d">
        <x:v>2025-07-09T00:00:00.000Z</x:v>
      </x:c>
      <x:c r="E225" s="2" t="str">
        <x:v>TEC_ORD</x:v>
      </x:c>
      <x:c r="F225" s="2" t="str">
        <x:v>BUY</x:v>
      </x:c>
      <x:c r="G225" s="17" t="n">
        <x:v>0.0042</x:v>
      </x:c>
      <x:c r="H225" s="18" t="n">
        <x:v>-0.2</x:v>
      </x:c>
      <x:c r="I225" s="18" t="str">
        <x:v>CAD</x:v>
      </x:c>
      <x:c r="J225" s="18" t="n">
        <x:v>78.48</x:v>
      </x:c>
      <x:c r="K225" s="2" t="str">
        <x:v>TFSA-monthly-statement-transactions-DEMO_CAD-2025-07-01.csv</x:v>
      </x:c>
      <x:c r="L225" s="2" t="n">
        <x:v>7</x:v>
      </x:c>
      <x:c r="M225" s="2" t="str">
        <x:v>TEC - TD Global Tech Leaders Index ETF: Bought 0.0042 shares (executed at 2025-07-09)</x:v>
      </x:c>
      <x:c r="N225" s="2" t="str">
        <x:v>Imported</x:v>
      </x:c>
      <x:c r="O225" s="17" t="n">
        <x:f>IF(F225="BUY",G225,IF(F225="SELL",-G225,IF(AND(F225="STKREORG",N225="Applied 4-for-1 CDR split"),G225,0)))</x:f>
        <x:v>0.0042</x:v>
      </x:c>
      <x:c r="P225" s="17" t="n">
        <x:f>SUMIF($E$6:E224,E225,$O$6:O224)</x:f>
        <x:v>20</x:v>
      </x:c>
      <x:c r="Q225" s="18" t="n">
        <x:f>SUMIF($E$6:E224,E225,$S$6:S224)</x:f>
        <x:v>892.8</x:v>
      </x:c>
      <x:c r="R225" s="18" t="n">
        <x:f>IF(P225&gt;0,Q225/P225,0)</x:f>
        <x:v>44.64</x:v>
      </x:c>
      <x:c r="S225" s="18" t="n">
        <x:f>IF(F225="BUY",-H225,IF(F225="SELL",-G225*R225,0))</x:f>
        <x:v>0.2</x:v>
      </x:c>
      <x:c r="T225" s="18" t="n">
        <x:f>IF(F225="SELL",IF(G225&gt;P225+0.000001,"REVIEW",H225-G225*R225),0)</x:f>
        <x:v>0</x:v>
      </x:c>
      <x:c r="U225" s="17" t="n">
        <x:f>P225+O225</x:f>
        <x:v>20.0042</x:v>
      </x:c>
      <x:c r="V225" s="18" t="n">
        <x:f>Q225+S225</x:f>
        <x:v>893</x:v>
      </x:c>
      <x:c r="W225" s="18" t="n">
        <x:f>IF(F225="DIV",H225,0)</x:f>
        <x:v>0</x:v>
      </x:c>
      <x:c r="X225" s="18" t="n">
        <x:f>IF(F225="CONT",H225,0)</x:f>
        <x:v>0</x:v>
      </x:c>
      <x:c r="Y225" s="2" t="str">
        <x:f>TEXT(C225,"yyyy-mm")</x:f>
        <x:v>2025-07</x:v>
      </x:c>
      <x:c r="Z225" s="2" t="str">
        <x:f>IF(OR(AND(F225="STKREORG",N225&lt;&gt;"Applied 4-for-1 CDR split"),AND(F225="SELL",G225&gt;P225+0.000001)),"REVIEW","OK")</x:f>
        <x:v>OK</x:v>
      </x:c>
    </x:row>
    <x:row r="226" ht="21" customHeight="1">
      <x:c r="A226" s="2"/>
      <x:c r="B226" s="2" t="str">
        <x:v>c0cd7c3cf150a75d3691</x:v>
      </x:c>
      <x:c r="C226" s="16" t="d">
        <x:v>2025-07-10T00:00:00.000Z</x:v>
      </x:c>
      <x:c r="D226" s="16" t="d">
        <x:v>2025-07-09T00:00:00.000Z</x:v>
      </x:c>
      <x:c r="E226" s="2" t="str">
        <x:v>VFV_ORD</x:v>
      </x:c>
      <x:c r="F226" s="2" t="str">
        <x:v>BUY</x:v>
      </x:c>
      <x:c r="G226" s="17" t="n">
        <x:v>0.1144</x:v>
      </x:c>
      <x:c r="H226" s="18" t="n">
        <x:v>-17.35</x:v>
      </x:c>
      <x:c r="I226" s="18" t="str">
        <x:v>CAD</x:v>
      </x:c>
      <x:c r="J226" s="18" t="n">
        <x:v>61.13</x:v>
      </x:c>
      <x:c r="K226" s="2" t="str">
        <x:v>TFSA-monthly-statement-transactions-DEMO_CAD-2025-07-01.csv</x:v>
      </x:c>
      <x:c r="L226" s="2" t="n">
        <x:v>8</x:v>
      </x:c>
      <x:c r="M226" s="2" t="str">
        <x:v>VFV - Vanguard S&amp;P 500 Index ETF: Bought 0.1144 shares (executed at 2025-07-09)</x:v>
      </x:c>
      <x:c r="N226" s="2" t="str">
        <x:v>Imported</x:v>
      </x:c>
      <x:c r="O226" s="17" t="n">
        <x:f>IF(F226="BUY",G226,IF(F226="SELL",-G226,IF(AND(F226="STKREORG",N226="Applied 4-for-1 CDR split"),G226,0)))</x:f>
        <x:v>0.1144</x:v>
      </x:c>
      <x:c r="P226" s="17" t="n">
        <x:f>SUMIF($E$6:E225,E226,$O$6:O225)</x:f>
        <x:v>47.031</x:v>
      </x:c>
      <x:c r="Q226" s="18" t="n">
        <x:f>SUMIF($E$6:E225,E226,$S$6:S225)</x:f>
        <x:v>6956.969991735696</x:v>
      </x:c>
      <x:c r="R226" s="18" t="n">
        <x:f>IF(P226&gt;0,Q226/P226,0)</x:f>
        <x:v>147.9230718406093</x:v>
      </x:c>
      <x:c r="S226" s="18" t="n">
        <x:f>IF(F226="BUY",-H226,IF(F226="SELL",-G226*R226,0))</x:f>
        <x:v>17.35</x:v>
      </x:c>
      <x:c r="T226" s="18" t="n">
        <x:f>IF(F226="SELL",IF(G226&gt;P226+0.000001,"REVIEW",H226-G226*R226),0)</x:f>
        <x:v>0</x:v>
      </x:c>
      <x:c r="U226" s="17" t="n">
        <x:f>P226+O226</x:f>
        <x:v>47.1454</x:v>
      </x:c>
      <x:c r="V226" s="18" t="n">
        <x:f>Q226+S226</x:f>
        <x:v>6974.319991735696</x:v>
      </x:c>
      <x:c r="W226" s="18" t="n">
        <x:f>IF(F226="DIV",H226,0)</x:f>
        <x:v>0</x:v>
      </x:c>
      <x:c r="X226" s="18" t="n">
        <x:f>IF(F226="CONT",H226,0)</x:f>
        <x:v>0</x:v>
      </x:c>
      <x:c r="Y226" s="2" t="str">
        <x:f>TEXT(C226,"yyyy-mm")</x:f>
        <x:v>2025-07</x:v>
      </x:c>
      <x:c r="Z226" s="2" t="str">
        <x:f>IF(OR(AND(F226="STKREORG",N226&lt;&gt;"Applied 4-for-1 CDR split"),AND(F226="SELL",G226&gt;P226+0.000001)),"REVIEW","OK")</x:f>
        <x:v>OK</x:v>
      </x:c>
    </x:row>
    <x:row r="227" ht="21" customHeight="1">
      <x:c r="A227" s="2"/>
      <x:c r="B227" s="2" t="str">
        <x:v>14a1233442d0b92c7e37</x:v>
      </x:c>
      <x:c r="C227" s="16" t="d">
        <x:v>2025-07-10T00:00:00.000Z</x:v>
      </x:c>
      <x:c r="D227" s="16" t="d">
        <x:v>2025-07-10T00:00:00.000Z</x:v>
      </x:c>
      <x:c r="E227" s="2" t="str">
        <x:v>NVDA_CDR</x:v>
      </x:c>
      <x:c r="F227" s="2" t="str">
        <x:v>DIV</x:v>
      </x:c>
      <x:c r="G227" s="17" t="n">
        <x:v>0</x:v>
      </x:c>
      <x:c r="H227" s="18" t="n">
        <x:v>0.02</x:v>
      </x:c>
      <x:c r="I227" s="18" t="str">
        <x:v>CAD</x:v>
      </x:c>
      <x:c r="J227" s="18" t="n">
        <x:v>61.15</x:v>
      </x:c>
      <x:c r="K227" s="2" t="str">
        <x:v>TFSA-monthly-statement-transactions-DEMO_CAD-2025-07-01.csv</x:v>
      </x:c>
      <x:c r="L227" s="2" t="n">
        <x:v>9</x:v>
      </x:c>
      <x:c r="M227" s="2" t="str">
        <x:v>NVDA - Nvidia CDR (CAD Hedged): Cash dividend distribution, received on 2025-07-10, record date of 2025-06-11</x:v>
      </x:c>
      <x:c r="N227" s="2" t="str">
        <x:v>Imported</x:v>
      </x:c>
      <x:c r="O227" s="17" t="n">
        <x:f>IF(F227="BUY",G227,IF(F227="SELL",-G227,IF(AND(F227="STKREORG",N227="Applied 4-for-1 CDR split"),G227,0)))</x:f>
        <x:v>0</x:v>
      </x:c>
      <x:c r="P227" s="17" t="n">
        <x:f>SUMIF($E$6:E226,E227,$O$6:O226)</x:f>
        <x:v>10.0008</x:v>
      </x:c>
      <x:c r="Q227" s="18" t="n">
        <x:f>SUMIF($E$6:E226,E227,$S$6:S226)</x:f>
        <x:v>290.06999999999994</x:v>
      </x:c>
      <x:c r="R227" s="18" t="n">
        <x:f>IF(P227&gt;0,Q227/P227,0)</x:f>
        <x:v>29.004679625629944</x:v>
      </x:c>
      <x:c r="S227" s="18" t="n">
        <x:f>IF(F227="BUY",-H227,IF(F227="SELL",-G227*R227,0))</x:f>
        <x:v>0</x:v>
      </x:c>
      <x:c r="T227" s="18" t="n">
        <x:f>IF(F227="SELL",IF(G227&gt;P227+0.000001,"REVIEW",H227-G227*R227),0)</x:f>
        <x:v>0</x:v>
      </x:c>
      <x:c r="U227" s="17" t="n">
        <x:f>P227+O227</x:f>
        <x:v>10.0008</x:v>
      </x:c>
      <x:c r="V227" s="18" t="n">
        <x:f>Q227+S227</x:f>
        <x:v>290.06999999999994</x:v>
      </x:c>
      <x:c r="W227" s="18" t="n">
        <x:f>IF(F227="DIV",H227,0)</x:f>
        <x:v>0.02</x:v>
      </x:c>
      <x:c r="X227" s="18" t="n">
        <x:f>IF(F227="CONT",H227,0)</x:f>
        <x:v>0</x:v>
      </x:c>
      <x:c r="Y227" s="2" t="str">
        <x:f>TEXT(C227,"yyyy-mm")</x:f>
        <x:v>2025-07</x:v>
      </x:c>
      <x:c r="Z227" s="2" t="str">
        <x:f>IF(OR(AND(F227="STKREORG",N227&lt;&gt;"Applied 4-for-1 CDR split"),AND(F227="SELL",G227&gt;P227+0.000001)),"REVIEW","OK")</x:f>
        <x:v>OK</x:v>
      </x:c>
    </x:row>
    <x:row r="228" ht="21" customHeight="1">
      <x:c r="A228" s="2"/>
      <x:c r="B228" s="2" t="str">
        <x:v>57491a54fb9b81f91e0b</x:v>
      </x:c>
      <x:c r="C228" s="16" t="d">
        <x:v>2025-07-11T00:00:00.000Z</x:v>
      </x:c>
      <x:c r="D228" s="16" t="d">
        <x:v>2025-07-10T00:00:00.000Z</x:v>
      </x:c>
      <x:c r="E228" s="2" t="str">
        <x:v>NVDA_CDR</x:v>
      </x:c>
      <x:c r="F228" s="2" t="str">
        <x:v>BUY</x:v>
      </x:c>
      <x:c r="G228" s="17" t="n">
        <x:v>0.0005</x:v>
      </x:c>
      <x:c r="H228" s="18" t="n">
        <x:v>-0.02</x:v>
      </x:c>
      <x:c r="I228" s="18" t="str">
        <x:v>CAD</x:v>
      </x:c>
      <x:c r="J228" s="18" t="n">
        <x:v>61.13</x:v>
      </x:c>
      <x:c r="K228" s="2" t="str">
        <x:v>TFSA-monthly-statement-transactions-DEMO_CAD-2025-07-01.csv</x:v>
      </x:c>
      <x:c r="L228" s="2" t="n">
        <x:v>10</x:v>
      </x:c>
      <x:c r="M228" s="2" t="str">
        <x:v>NVDA - Nvidia CDR (CAD Hedged): Bought 0.0005 shares (executed at 2025-07-10)</x:v>
      </x:c>
      <x:c r="N228" s="2" t="str">
        <x:v>Imported</x:v>
      </x:c>
      <x:c r="O228" s="17" t="n">
        <x:f>IF(F228="BUY",G228,IF(F228="SELL",-G228,IF(AND(F228="STKREORG",N228="Applied 4-for-1 CDR split"),G228,0)))</x:f>
        <x:v>0.0005</x:v>
      </x:c>
      <x:c r="P228" s="17" t="n">
        <x:f>SUMIF($E$6:E227,E228,$O$6:O227)</x:f>
        <x:v>10.0008</x:v>
      </x:c>
      <x:c r="Q228" s="18" t="n">
        <x:f>SUMIF($E$6:E227,E228,$S$6:S227)</x:f>
        <x:v>290.06999999999994</x:v>
      </x:c>
      <x:c r="R228" s="18" t="n">
        <x:f>IF(P228&gt;0,Q228/P228,0)</x:f>
        <x:v>29.004679625629944</x:v>
      </x:c>
      <x:c r="S228" s="18" t="n">
        <x:f>IF(F228="BUY",-H228,IF(F228="SELL",-G228*R228,0))</x:f>
        <x:v>0.02</x:v>
      </x:c>
      <x:c r="T228" s="18" t="n">
        <x:f>IF(F228="SELL",IF(G228&gt;P228+0.000001,"REVIEW",H228-G228*R228),0)</x:f>
        <x:v>0</x:v>
      </x:c>
      <x:c r="U228" s="17" t="n">
        <x:f>P228+O228</x:f>
        <x:v>10.0013</x:v>
      </x:c>
      <x:c r="V228" s="18" t="n">
        <x:f>Q228+S228</x:f>
        <x:v>290.0899999999999</x:v>
      </x:c>
      <x:c r="W228" s="18" t="n">
        <x:f>IF(F228="DIV",H228,0)</x:f>
        <x:v>0</x:v>
      </x:c>
      <x:c r="X228" s="18" t="n">
        <x:f>IF(F228="CONT",H228,0)</x:f>
        <x:v>0</x:v>
      </x:c>
      <x:c r="Y228" s="2" t="str">
        <x:f>TEXT(C228,"yyyy-mm")</x:f>
        <x:v>2025-07</x:v>
      </x:c>
      <x:c r="Z228" s="2" t="str">
        <x:f>IF(OR(AND(F228="STKREORG",N228&lt;&gt;"Applied 4-for-1 CDR split"),AND(F228="SELL",G228&gt;P228+0.000001)),"REVIEW","OK")</x:f>
        <x:v>OK</x:v>
      </x:c>
    </x:row>
    <x:row r="229" ht="21" customHeight="1">
      <x:c r="A229" s="2"/>
      <x:c r="B229" s="2" t="str">
        <x:v>e33bb3a79c8f47e479a9</x:v>
      </x:c>
      <x:c r="C229" s="16" t="d">
        <x:v>2025-07-18T00:00:00.000Z</x:v>
      </x:c>
      <x:c r="D229" s="16" t="d">
        <x:v>2025-07-18T00:00:00.000Z</x:v>
      </x:c>
      <x:c r="E229" s="2" t="str">
        <x:v>ZMMK_ORD</x:v>
      </x:c>
      <x:c r="F229" s="2" t="str">
        <x:v>DIV</x:v>
      </x:c>
      <x:c r="G229" s="17" t="n">
        <x:v>0</x:v>
      </x:c>
      <x:c r="H229" s="18" t="n">
        <x:v>1.89</x:v>
      </x:c>
      <x:c r="I229" s="18" t="str">
        <x:v>CAD</x:v>
      </x:c>
      <x:c r="J229" s="18" t="n">
        <x:v>63.02</x:v>
      </x:c>
      <x:c r="K229" s="2" t="str">
        <x:v>TFSA-monthly-statement-transactions-DEMO_CAD-2025-07-01.csv</x:v>
      </x:c>
      <x:c r="L229" s="2" t="n">
        <x:v>11</x:v>
      </x:c>
      <x:c r="M229" s="2" t="str">
        <x:v>ZMMK - BMO Money Market Fund ETF: Cash dividend distribution, received on 2025-07-18, record date of 2025-07-11</x:v>
      </x:c>
      <x:c r="N229" s="2" t="str">
        <x:v>Imported</x:v>
      </x:c>
      <x:c r="O229" s="17" t="n">
        <x:f>IF(F229="BUY",G229,IF(F229="SELL",-G229,IF(AND(F229="STKREORG",N229="Applied 4-for-1 CDR split"),G229,0)))</x:f>
        <x:v>0</x:v>
      </x:c>
      <x:c r="P229" s="17" t="n">
        <x:f>SUMIF($E$6:E228,E229,$O$6:O228)</x:f>
        <x:v>125.9799</x:v>
      </x:c>
      <x:c r="Q229" s="18" t="n">
        <x:f>SUMIF($E$6:E228,E229,$S$6:S228)</x:f>
        <x:v>6289.67</x:v>
      </x:c>
      <x:c r="R229" s="18" t="n">
        <x:f>IF(P229&gt;0,Q229/P229,0)</x:f>
        <x:v>49.925980255580455</x:v>
      </x:c>
      <x:c r="S229" s="18" t="n">
        <x:f>IF(F229="BUY",-H229,IF(F229="SELL",-G229*R229,0))</x:f>
        <x:v>0</x:v>
      </x:c>
      <x:c r="T229" s="18" t="n">
        <x:f>IF(F229="SELL",IF(G229&gt;P229+0.000001,"REVIEW",H229-G229*R229),0)</x:f>
        <x:v>0</x:v>
      </x:c>
      <x:c r="U229" s="17" t="n">
        <x:f>P229+O229</x:f>
        <x:v>125.9799</x:v>
      </x:c>
      <x:c r="V229" s="18" t="n">
        <x:f>Q229+S229</x:f>
        <x:v>6289.67</x:v>
      </x:c>
      <x:c r="W229" s="18" t="n">
        <x:f>IF(F229="DIV",H229,0)</x:f>
        <x:v>1.89</x:v>
      </x:c>
      <x:c r="X229" s="18" t="n">
        <x:f>IF(F229="CONT",H229,0)</x:f>
        <x:v>0</x:v>
      </x:c>
      <x:c r="Y229" s="2" t="str">
        <x:f>TEXT(C229,"yyyy-mm")</x:f>
        <x:v>2025-07</x:v>
      </x:c>
      <x:c r="Z229" s="2" t="str">
        <x:f>IF(OR(AND(F229="STKREORG",N229&lt;&gt;"Applied 4-for-1 CDR split"),AND(F229="SELL",G229&gt;P229+0.000001)),"REVIEW","OK")</x:f>
        <x:v>OK</x:v>
      </x:c>
    </x:row>
    <x:row r="230" ht="21" customHeight="1">
      <x:c r="A230" s="2"/>
      <x:c r="B230" s="2" t="str">
        <x:v>cab1b0b6d49f4c7ae78b</x:v>
      </x:c>
      <x:c r="C230" s="16" t="d">
        <x:v>2025-07-21T00:00:00.000Z</x:v>
      </x:c>
      <x:c r="D230" s="16" t="d">
        <x:v>2025-07-18T00:00:00.000Z</x:v>
      </x:c>
      <x:c r="E230" s="2" t="str">
        <x:v>ZMMK_ORD</x:v>
      </x:c>
      <x:c r="F230" s="2" t="str">
        <x:v>BUY</x:v>
      </x:c>
      <x:c r="G230" s="17" t="n">
        <x:v>0.0378</x:v>
      </x:c>
      <x:c r="H230" s="18" t="n">
        <x:v>-1.89</x:v>
      </x:c>
      <x:c r="I230" s="18" t="str">
        <x:v>CAD</x:v>
      </x:c>
      <x:c r="J230" s="18" t="n">
        <x:v>61.13</x:v>
      </x:c>
      <x:c r="K230" s="2" t="str">
        <x:v>TFSA-monthly-statement-transactions-DEMO_CAD-2025-07-01.csv</x:v>
      </x:c>
      <x:c r="L230" s="2" t="n">
        <x:v>12</x:v>
      </x:c>
      <x:c r="M230" s="2" t="str">
        <x:v>ZMMK - BMO Money Market Fund ETF: Bought 0.0378 shares (executed at 2025-07-18)</x:v>
      </x:c>
      <x:c r="N230" s="2" t="str">
        <x:v>Imported</x:v>
      </x:c>
      <x:c r="O230" s="17" t="n">
        <x:f>IF(F230="BUY",G230,IF(F230="SELL",-G230,IF(AND(F230="STKREORG",N230="Applied 4-for-1 CDR split"),G230,0)))</x:f>
        <x:v>0.0378</x:v>
      </x:c>
      <x:c r="P230" s="17" t="n">
        <x:f>SUMIF($E$6:E229,E230,$O$6:O229)</x:f>
        <x:v>125.9799</x:v>
      </x:c>
      <x:c r="Q230" s="18" t="n">
        <x:f>SUMIF($E$6:E229,E230,$S$6:S229)</x:f>
        <x:v>6289.67</x:v>
      </x:c>
      <x:c r="R230" s="18" t="n">
        <x:f>IF(P230&gt;0,Q230/P230,0)</x:f>
        <x:v>49.925980255580455</x:v>
      </x:c>
      <x:c r="S230" s="18" t="n">
        <x:f>IF(F230="BUY",-H230,IF(F230="SELL",-G230*R230,0))</x:f>
        <x:v>1.89</x:v>
      </x:c>
      <x:c r="T230" s="18" t="n">
        <x:f>IF(F230="SELL",IF(G230&gt;P230+0.000001,"REVIEW",H230-G230*R230),0)</x:f>
        <x:v>0</x:v>
      </x:c>
      <x:c r="U230" s="17" t="n">
        <x:f>P230+O230</x:f>
        <x:v>126.0177</x:v>
      </x:c>
      <x:c r="V230" s="18" t="n">
        <x:f>Q230+S230</x:f>
        <x:v>6291.56</x:v>
      </x:c>
      <x:c r="W230" s="18" t="n">
        <x:f>IF(F230="DIV",H230,0)</x:f>
        <x:v>0</x:v>
      </x:c>
      <x:c r="X230" s="18" t="n">
        <x:f>IF(F230="CONT",H230,0)</x:f>
        <x:v>0</x:v>
      </x:c>
      <x:c r="Y230" s="2" t="str">
        <x:f>TEXT(C230,"yyyy-mm")</x:f>
        <x:v>2025-07</x:v>
      </x:c>
      <x:c r="Z230" s="2" t="str">
        <x:f>IF(OR(AND(F230="STKREORG",N230&lt;&gt;"Applied 4-for-1 CDR split"),AND(F230="SELL",G230&gt;P230+0.000001)),"REVIEW","OK")</x:f>
        <x:v>OK</x:v>
      </x:c>
    </x:row>
    <x:row r="231" ht="21" customHeight="1">
      <x:c r="A231" s="2"/>
      <x:c r="B231" s="2" t="str">
        <x:v>be8981f668e395dac5d9</x:v>
      </x:c>
      <x:c r="C231" s="16" t="d">
        <x:v>2025-08-05T00:00:00.000Z</x:v>
      </x:c>
      <x:c r="D231" s="16" t="d">
        <x:v>2025-08-05T00:00:00.000Z</x:v>
      </x:c>
      <x:c r="E231" s="2" t="str">
        <x:v>ZMMK_ORD</x:v>
      </x:c>
      <x:c r="F231" s="2" t="str">
        <x:v>DIV</x:v>
      </x:c>
      <x:c r="G231" s="17" t="n">
        <x:v>0</x:v>
      </x:c>
      <x:c r="H231" s="18" t="n">
        <x:v>12.6</x:v>
      </x:c>
      <x:c r="I231" s="18" t="str">
        <x:v>CAD</x:v>
      </x:c>
      <x:c r="J231" s="18" t="n">
        <x:v>73.73</x:v>
      </x:c>
      <x:c r="K231" s="2" t="str">
        <x:v>TFSA-monthly-statement-transactions-DEMO_CAD-2025-08-01.csv</x:v>
      </x:c>
      <x:c r="L231" s="2" t="n">
        <x:v>2</x:v>
      </x:c>
      <x:c r="M231" s="2" t="str">
        <x:v>ZMMK - BMO Money Market Fund ETF: Cash dividend distribution, received on 2025-08-05, record date of 2025-07-30</x:v>
      </x:c>
      <x:c r="N231" s="2" t="str">
        <x:v>Imported</x:v>
      </x:c>
      <x:c r="O231" s="17" t="n">
        <x:f>IF(F231="BUY",G231,IF(F231="SELL",-G231,IF(AND(F231="STKREORG",N231="Applied 4-for-1 CDR split"),G231,0)))</x:f>
        <x:v>0</x:v>
      </x:c>
      <x:c r="P231" s="17" t="n">
        <x:f>SUMIF($E$6:E230,E231,$O$6:O230)</x:f>
        <x:v>126.0177</x:v>
      </x:c>
      <x:c r="Q231" s="18" t="n">
        <x:f>SUMIF($E$6:E230,E231,$S$6:S230)</x:f>
        <x:v>6291.56</x:v>
      </x:c>
      <x:c r="R231" s="18" t="n">
        <x:f>IF(P231&gt;0,Q231/P231,0)</x:f>
        <x:v>49.926002458384815</x:v>
      </x:c>
      <x:c r="S231" s="18" t="n">
        <x:f>IF(F231="BUY",-H231,IF(F231="SELL",-G231*R231,0))</x:f>
        <x:v>0</x:v>
      </x:c>
      <x:c r="T231" s="18" t="n">
        <x:f>IF(F231="SELL",IF(G231&gt;P231+0.000001,"REVIEW",H231-G231*R231),0)</x:f>
        <x:v>0</x:v>
      </x:c>
      <x:c r="U231" s="17" t="n">
        <x:f>P231+O231</x:f>
        <x:v>126.0177</x:v>
      </x:c>
      <x:c r="V231" s="18" t="n">
        <x:f>Q231+S231</x:f>
        <x:v>6291.56</x:v>
      </x:c>
      <x:c r="W231" s="18" t="n">
        <x:f>IF(F231="DIV",H231,0)</x:f>
        <x:v>12.6</x:v>
      </x:c>
      <x:c r="X231" s="18" t="n">
        <x:f>IF(F231="CONT",H231,0)</x:f>
        <x:v>0</x:v>
      </x:c>
      <x:c r="Y231" s="2" t="str">
        <x:f>TEXT(C231,"yyyy-mm")</x:f>
        <x:v>2025-08</x:v>
      </x:c>
      <x:c r="Z231" s="2" t="str">
        <x:f>IF(OR(AND(F231="STKREORG",N231&lt;&gt;"Applied 4-for-1 CDR split"),AND(F231="SELL",G231&gt;P231+0.000001)),"REVIEW","OK")</x:f>
        <x:v>OK</x:v>
      </x:c>
    </x:row>
    <x:row r="232" ht="21" customHeight="1">
      <x:c r="A232" s="2"/>
      <x:c r="B232" s="2" t="str">
        <x:v>23fd6d802240e3964d9a</x:v>
      </x:c>
      <x:c r="C232" s="16" t="d">
        <x:v>2025-08-07T00:00:00.000Z</x:v>
      </x:c>
      <x:c r="D232" s="16" t="d">
        <x:v>2025-08-06T00:00:00.000Z</x:v>
      </x:c>
      <x:c r="E232" s="2" t="str">
        <x:v>ZMMK_ORD</x:v>
      </x:c>
      <x:c r="F232" s="2" t="str">
        <x:v>SELL</x:v>
      </x:c>
      <x:c r="G232" s="17" t="n">
        <x:v>50</x:v>
      </x:c>
      <x:c r="H232" s="18" t="n">
        <x:v>2493.5</x:v>
      </x:c>
      <x:c r="I232" s="18" t="str">
        <x:v>CAD</x:v>
      </x:c>
      <x:c r="J232" s="18" t="n">
        <x:v>2567.23</x:v>
      </x:c>
      <x:c r="K232" s="2" t="str">
        <x:v>TFSA-monthly-statement-transactions-DEMO_CAD-2025-08-01.csv</x:v>
      </x:c>
      <x:c r="L232" s="2" t="n">
        <x:v>3</x:v>
      </x:c>
      <x:c r="M232" s="2" t="str">
        <x:v>ZMMK - BMO Money Market Fund ETF: Sold 50.0000 shares (executed at 2025-08-06)</x:v>
      </x:c>
      <x:c r="N232" s="2" t="str">
        <x:v>Imported</x:v>
      </x:c>
      <x:c r="O232" s="17" t="n">
        <x:f>IF(F232="BUY",G232,IF(F232="SELL",-G232,IF(AND(F232="STKREORG",N232="Applied 4-for-1 CDR split"),G232,0)))</x:f>
        <x:v>-50</x:v>
      </x:c>
      <x:c r="P232" s="17" t="n">
        <x:f>SUMIF($E$6:E231,E232,$O$6:O231)</x:f>
        <x:v>126.0177</x:v>
      </x:c>
      <x:c r="Q232" s="18" t="n">
        <x:f>SUMIF($E$6:E231,E232,$S$6:S231)</x:f>
        <x:v>6291.56</x:v>
      </x:c>
      <x:c r="R232" s="18" t="n">
        <x:f>IF(P232&gt;0,Q232/P232,0)</x:f>
        <x:v>49.926002458384815</x:v>
      </x:c>
      <x:c r="S232" s="18" t="n">
        <x:f>IF(F232="BUY",-H232,IF(F232="SELL",-G232*R232,0))</x:f>
        <x:v>-2496.300122919241</x:v>
      </x:c>
      <x:c r="T232" s="18" t="n">
        <x:f>IF(F232="SELL",IF(G232&gt;P232+0.000001,"REVIEW",H232-G232*R232),0)</x:f>
        <x:v>-2.8001229192409482</x:v>
      </x:c>
      <x:c r="U232" s="17" t="n">
        <x:f>P232+O232</x:f>
        <x:v>76.0177</x:v>
      </x:c>
      <x:c r="V232" s="18" t="n">
        <x:f>Q232+S232</x:f>
        <x:v>3795.2598770807595</x:v>
      </x:c>
      <x:c r="W232" s="18" t="n">
        <x:f>IF(F232="DIV",H232,0)</x:f>
        <x:v>0</x:v>
      </x:c>
      <x:c r="X232" s="18" t="n">
        <x:f>IF(F232="CONT",H232,0)</x:f>
        <x:v>0</x:v>
      </x:c>
      <x:c r="Y232" s="2" t="str">
        <x:f>TEXT(C232,"yyyy-mm")</x:f>
        <x:v>2025-08</x:v>
      </x:c>
      <x:c r="Z232" s="2" t="str">
        <x:f>IF(OR(AND(F232="STKREORG",N232&lt;&gt;"Applied 4-for-1 CDR split"),AND(F232="SELL",G232&gt;P232+0.000001)),"REVIEW","OK")</x:f>
        <x:v>OK</x:v>
      </x:c>
    </x:row>
    <x:row r="233" ht="21" customHeight="1">
      <x:c r="A233" s="2"/>
      <x:c r="B233" s="2" t="str">
        <x:v>14c15a9ac314f1b36c5a</x:v>
      </x:c>
      <x:c r="C233" s="16" t="d">
        <x:v>2025-08-07T00:00:00.000Z</x:v>
      </x:c>
      <x:c r="D233" s="16" t="d">
        <x:v>2025-08-06T00:00:00.000Z</x:v>
      </x:c>
      <x:c r="E233" s="2" t="str">
        <x:v>ZMMK_ORD</x:v>
      </x:c>
      <x:c r="F233" s="2" t="str">
        <x:v>BUY</x:v>
      </x:c>
      <x:c r="G233" s="17" t="n">
        <x:v>0.2526</x:v>
      </x:c>
      <x:c r="H233" s="18" t="n">
        <x:v>-12.6</x:v>
      </x:c>
      <x:c r="I233" s="18" t="str">
        <x:v>CAD</x:v>
      </x:c>
      <x:c r="J233" s="18" t="n">
        <x:v>2554.63</x:v>
      </x:c>
      <x:c r="K233" s="2" t="str">
        <x:v>TFSA-monthly-statement-transactions-DEMO_CAD-2025-08-01.csv</x:v>
      </x:c>
      <x:c r="L233" s="2" t="n">
        <x:v>4</x:v>
      </x:c>
      <x:c r="M233" s="2" t="str">
        <x:v>ZMMK - BMO Money Market Fund ETF: Bought 0.2526 shares (executed at 2025-08-06)</x:v>
      </x:c>
      <x:c r="N233" s="2" t="str">
        <x:v>Imported</x:v>
      </x:c>
      <x:c r="O233" s="17" t="n">
        <x:f>IF(F233="BUY",G233,IF(F233="SELL",-G233,IF(AND(F233="STKREORG",N233="Applied 4-for-1 CDR split"),G233,0)))</x:f>
        <x:v>0.2526</x:v>
      </x:c>
      <x:c r="P233" s="17" t="n">
        <x:f>SUMIF($E$6:E232,E233,$O$6:O232)</x:f>
        <x:v>76.0177</x:v>
      </x:c>
      <x:c r="Q233" s="18" t="n">
        <x:f>SUMIF($E$6:E232,E233,$S$6:S232)</x:f>
        <x:v>3795.2598770807595</x:v>
      </x:c>
      <x:c r="R233" s="18" t="n">
        <x:f>IF(P233&gt;0,Q233/P233,0)</x:f>
        <x:v>49.926002458384815</x:v>
      </x:c>
      <x:c r="S233" s="18" t="n">
        <x:f>IF(F233="BUY",-H233,IF(F233="SELL",-G233*R233,0))</x:f>
        <x:v>12.6</x:v>
      </x:c>
      <x:c r="T233" s="18" t="n">
        <x:f>IF(F233="SELL",IF(G233&gt;P233+0.000001,"REVIEW",H233-G233*R233),0)</x:f>
        <x:v>0</x:v>
      </x:c>
      <x:c r="U233" s="17" t="n">
        <x:f>P233+O233</x:f>
        <x:v>76.2703</x:v>
      </x:c>
      <x:c r="V233" s="18" t="n">
        <x:f>Q233+S233</x:f>
        <x:v>3807.8598770807594</x:v>
      </x:c>
      <x:c r="W233" s="18" t="n">
        <x:f>IF(F233="DIV",H233,0)</x:f>
        <x:v>0</x:v>
      </x:c>
      <x:c r="X233" s="18" t="n">
        <x:f>IF(F233="CONT",H233,0)</x:f>
        <x:v>0</x:v>
      </x:c>
      <x:c r="Y233" s="2" t="str">
        <x:f>TEXT(C233,"yyyy-mm")</x:f>
        <x:v>2025-08</x:v>
      </x:c>
      <x:c r="Z233" s="2" t="str">
        <x:f>IF(OR(AND(F233="STKREORG",N233&lt;&gt;"Applied 4-for-1 CDR split"),AND(F233="SELL",G233&gt;P233+0.000001)),"REVIEW","OK")</x:f>
        <x:v>OK</x:v>
      </x:c>
    </x:row>
    <x:row r="234" ht="21" customHeight="1">
      <x:c r="A234" s="2"/>
      <x:c r="B234" s="2" t="str">
        <x:v>150a0b8a5fd93b5e2daa</x:v>
      </x:c>
      <x:c r="C234" s="16" t="d">
        <x:v>2025-08-08T00:00:00.000Z</x:v>
      </x:c>
      <x:c r="D234" s="16" t="d">
        <x:v>2025-08-07T00:00:00.000Z</x:v>
      </x:c>
      <x:c r="E234" s="2" t="str">
        <x:v>VDY_ORD</x:v>
      </x:c>
      <x:c r="F234" s="2" t="str">
        <x:v>BUY</x:v>
      </x:c>
      <x:c r="G234" s="17" t="n">
        <x:v>5</x:v>
      </x:c>
      <x:c r="H234" s="18" t="n">
        <x:v>-264.1</x:v>
      </x:c>
      <x:c r="I234" s="18" t="str">
        <x:v>CAD</x:v>
      </x:c>
      <x:c r="J234" s="18" t="n">
        <x:v>2290.53</x:v>
      </x:c>
      <x:c r="K234" s="2" t="str">
        <x:v>TFSA-monthly-statement-transactions-DEMO_CAD-2025-08-01.csv</x:v>
      </x:c>
      <x:c r="L234" s="2" t="n">
        <x:v>5</x:v>
      </x:c>
      <x:c r="M234" s="2" t="str">
        <x:v>VDY - Vanguard FTSE Canadian High Dividend Yield Index ETF: Bought 5.0000 shares (executed at 2025-08-07)</x:v>
      </x:c>
      <x:c r="N234" s="2" t="str">
        <x:v>Imported</x:v>
      </x:c>
      <x:c r="O234" s="17" t="n">
        <x:f>IF(F234="BUY",G234,IF(F234="SELL",-G234,IF(AND(F234="STKREORG",N234="Applied 4-for-1 CDR split"),G234,0)))</x:f>
        <x:v>5</x:v>
      </x:c>
      <x:c r="P234" s="17" t="n">
        <x:f>SUMIF($E$6:E233,E234,$O$6:O233)</x:f>
        <x:v>-1.4432899320127035e-15</x:v>
      </x:c>
      <x:c r="Q234" s="18" t="n">
        <x:f>SUMIF($E$6:E233,E234,$S$6:S233)</x:f>
        <x:v>-6.750155989720952e-14</x:v>
      </x:c>
      <x:c r="R234" s="18" t="n">
        <x:f>IF(P234&gt;0,Q234/P234,0)</x:f>
        <x:v>0</x:v>
      </x:c>
      <x:c r="S234" s="18" t="n">
        <x:f>IF(F234="BUY",-H234,IF(F234="SELL",-G234*R234,0))</x:f>
        <x:v>264.1</x:v>
      </x:c>
      <x:c r="T234" s="18" t="n">
        <x:f>IF(F234="SELL",IF(G234&gt;P234+0.000001,"REVIEW",H234-G234*R234),0)</x:f>
        <x:v>0</x:v>
      </x:c>
      <x:c r="U234" s="17" t="n">
        <x:f>P234+O234</x:f>
        <x:v>4.999999999999998</x:v>
      </x:c>
      <x:c r="V234" s="18" t="n">
        <x:f>Q234+S234</x:f>
        <x:v>264.09999999999997</x:v>
      </x:c>
      <x:c r="W234" s="18" t="n">
        <x:f>IF(F234="DIV",H234,0)</x:f>
        <x:v>0</x:v>
      </x:c>
      <x:c r="X234" s="18" t="n">
        <x:f>IF(F234="CONT",H234,0)</x:f>
        <x:v>0</x:v>
      </x:c>
      <x:c r="Y234" s="2" t="str">
        <x:f>TEXT(C234,"yyyy-mm")</x:f>
        <x:v>2025-08</x:v>
      </x:c>
      <x:c r="Z234" s="2" t="str">
        <x:f>IF(OR(AND(F234="STKREORG",N234&lt;&gt;"Applied 4-for-1 CDR split"),AND(F234="SELL",G234&gt;P234+0.000001)),"REVIEW","OK")</x:f>
        <x:v>OK</x:v>
      </x:c>
    </x:row>
    <x:row r="235" ht="21" customHeight="1">
      <x:c r="A235" s="2"/>
      <x:c r="B235" s="2" t="str">
        <x:v>ebc97830560af2093528</x:v>
      </x:c>
      <x:c r="C235" s="16" t="d">
        <x:v>2025-08-08T00:00:00.000Z</x:v>
      </x:c>
      <x:c r="D235" s="16" t="d">
        <x:v>2025-08-07T00:00:00.000Z</x:v>
      </x:c>
      <x:c r="E235" s="2" t="str">
        <x:v>VFV_ORD</x:v>
      </x:c>
      <x:c r="F235" s="2" t="str">
        <x:v>BUY</x:v>
      </x:c>
      <x:c r="G235" s="17" t="n">
        <x:v>1</x:v>
      </x:c>
      <x:c r="H235" s="18" t="n">
        <x:v>-154.12</x:v>
      </x:c>
      <x:c r="I235" s="18" t="str">
        <x:v>CAD</x:v>
      </x:c>
      <x:c r="J235" s="18" t="n">
        <x:v>2136.41</x:v>
      </x:c>
      <x:c r="K235" s="2" t="str">
        <x:v>TFSA-monthly-statement-transactions-DEMO_CAD-2025-08-01.csv</x:v>
      </x:c>
      <x:c r="L235" s="2" t="n">
        <x:v>6</x:v>
      </x:c>
      <x:c r="M235" s="2" t="str">
        <x:v>VFV - Vanguard S&amp;P 500 Index ETF: Bought 1.0000 shares (executed at 2025-08-07)</x:v>
      </x:c>
      <x:c r="N235" s="2" t="str">
        <x:v>Imported</x:v>
      </x:c>
      <x:c r="O235" s="17" t="n">
        <x:f>IF(F235="BUY",G235,IF(F235="SELL",-G235,IF(AND(F235="STKREORG",N235="Applied 4-for-1 CDR split"),G235,0)))</x:f>
        <x:v>1</x:v>
      </x:c>
      <x:c r="P235" s="17" t="n">
        <x:f>SUMIF($E$6:E234,E235,$O$6:O234)</x:f>
        <x:v>47.1454</x:v>
      </x:c>
      <x:c r="Q235" s="18" t="n">
        <x:f>SUMIF($E$6:E234,E235,$S$6:S234)</x:f>
        <x:v>6974.319991735696</x:v>
      </x:c>
      <x:c r="R235" s="18" t="n">
        <x:f>IF(P235&gt;0,Q235/P235,0)</x:f>
        <x:v>147.93214166675213</x:v>
      </x:c>
      <x:c r="S235" s="18" t="n">
        <x:f>IF(F235="BUY",-H235,IF(F235="SELL",-G235*R235,0))</x:f>
        <x:v>154.12</x:v>
      </x:c>
      <x:c r="T235" s="18" t="n">
        <x:f>IF(F235="SELL",IF(G235&gt;P235+0.000001,"REVIEW",H235-G235*R235),0)</x:f>
        <x:v>0</x:v>
      </x:c>
      <x:c r="U235" s="17" t="n">
        <x:f>P235+O235</x:f>
        <x:v>48.1454</x:v>
      </x:c>
      <x:c r="V235" s="18" t="n">
        <x:f>Q235+S235</x:f>
        <x:v>7128.439991735696</x:v>
      </x:c>
      <x:c r="W235" s="18" t="n">
        <x:f>IF(F235="DIV",H235,0)</x:f>
        <x:v>0</x:v>
      </x:c>
      <x:c r="X235" s="18" t="n">
        <x:f>IF(F235="CONT",H235,0)</x:f>
        <x:v>0</x:v>
      </x:c>
      <x:c r="Y235" s="2" t="str">
        <x:f>TEXT(C235,"yyyy-mm")</x:f>
        <x:v>2025-08</x:v>
      </x:c>
      <x:c r="Z235" s="2" t="str">
        <x:f>IF(OR(AND(F235="STKREORG",N235&lt;&gt;"Applied 4-for-1 CDR split"),AND(F235="SELL",G235&gt;P235+0.000001)),"REVIEW","OK")</x:f>
        <x:v>OK</x:v>
      </x:c>
    </x:row>
    <x:row r="236" ht="21" customHeight="1">
      <x:c r="A236" s="2"/>
      <x:c r="B236" s="2" t="str">
        <x:v>dcfb8f0ca41de7ab715e</x:v>
      </x:c>
      <x:c r="C236" s="16" t="d">
        <x:v>2025-08-21T00:00:00.000Z</x:v>
      </x:c>
      <x:c r="D236" s="16" t="d">
        <x:v>2025-08-21T00:00:00.000Z</x:v>
      </x:c>
      <x:c r="E236" s="2" t="str">
        <x:v>AAPL_CDR</x:v>
      </x:c>
      <x:c r="F236" s="2" t="str">
        <x:v>DIV</x:v>
      </x:c>
      <x:c r="G236" s="17" t="n">
        <x:v>0</x:v>
      </x:c>
      <x:c r="H236" s="18" t="n">
        <x:v>0.52</x:v>
      </x:c>
      <x:c r="I236" s="18" t="str">
        <x:v>CAD</x:v>
      </x:c>
      <x:c r="J236" s="18" t="n">
        <x:v>2136.93</x:v>
      </x:c>
      <x:c r="K236" s="2" t="str">
        <x:v>TFSA-monthly-statement-transactions-DEMO_CAD-2025-08-01.csv</x:v>
      </x:c>
      <x:c r="L236" s="2" t="n">
        <x:v>7</x:v>
      </x:c>
      <x:c r="M236" s="2" t="str">
        <x:v>AAPL - Apple CDR (CAD Hedged) : Cash dividend distribution, received on 2025-08-21, record date of 2025-08-11</x:v>
      </x:c>
      <x:c r="N236" s="2" t="str">
        <x:v>Imported</x:v>
      </x:c>
      <x:c r="O236" s="17" t="n">
        <x:f>IF(F236="BUY",G236,IF(F236="SELL",-G236,IF(AND(F236="STKREORG",N236="Applied 4-for-1 CDR split"),G236,0)))</x:f>
        <x:v>0</x:v>
      </x:c>
      <x:c r="P236" s="17" t="n">
        <x:f>SUMIF($E$6:E235,E236,$O$6:O235)</x:f>
        <x:v>14.0158</x:v>
      </x:c>
      <x:c r="Q236" s="18" t="n">
        <x:f>SUMIF($E$6:E235,E236,$S$6:S235)</x:f>
        <x:v>399.22999999999996</x:v>
      </x:c>
      <x:c r="R236" s="18" t="n">
        <x:f>IF(P236&gt;0,Q236/P236,0)</x:f>
        <x:v>28.484282024572266</x:v>
      </x:c>
      <x:c r="S236" s="18" t="n">
        <x:f>IF(F236="BUY",-H236,IF(F236="SELL",-G236*R236,0))</x:f>
        <x:v>0</x:v>
      </x:c>
      <x:c r="T236" s="18" t="n">
        <x:f>IF(F236="SELL",IF(G236&gt;P236+0.000001,"REVIEW",H236-G236*R236),0)</x:f>
        <x:v>0</x:v>
      </x:c>
      <x:c r="U236" s="17" t="n">
        <x:f>P236+O236</x:f>
        <x:v>14.0158</x:v>
      </x:c>
      <x:c r="V236" s="18" t="n">
        <x:f>Q236+S236</x:f>
        <x:v>399.22999999999996</x:v>
      </x:c>
      <x:c r="W236" s="18" t="n">
        <x:f>IF(F236="DIV",H236,0)</x:f>
        <x:v>0.52</x:v>
      </x:c>
      <x:c r="X236" s="18" t="n">
        <x:f>IF(F236="CONT",H236,0)</x:f>
        <x:v>0</x:v>
      </x:c>
      <x:c r="Y236" s="2" t="str">
        <x:f>TEXT(C236,"yyyy-mm")</x:f>
        <x:v>2025-08</x:v>
      </x:c>
      <x:c r="Z236" s="2" t="str">
        <x:f>IF(OR(AND(F236="STKREORG",N236&lt;&gt;"Applied 4-for-1 CDR split"),AND(F236="SELL",G236&gt;P236+0.000001)),"REVIEW","OK")</x:f>
        <x:v>OK</x:v>
      </x:c>
    </x:row>
    <x:row r="237" ht="21" customHeight="1">
      <x:c r="A237" s="2"/>
      <x:c r="B237" s="2" t="str">
        <x:v>6b04774f22c23cc99c80</x:v>
      </x:c>
      <x:c r="C237" s="16" t="d">
        <x:v>2025-08-21T00:00:00.000Z</x:v>
      </x:c>
      <x:c r="D237" s="16" t="d">
        <x:v>2025-08-21T00:00:00.000Z</x:v>
      </x:c>
      <x:c r="E237" s="2" t="str"/>
      <x:c r="F237" s="2" t="str">
        <x:v>NRT</x:v>
      </x:c>
      <x:c r="G237" s="17" t="n">
        <x:v>0</x:v>
      </x:c>
      <x:c r="H237" s="18" t="n">
        <x:v>-0.08</x:v>
      </x:c>
      <x:c r="I237" s="18" t="str">
        <x:v>CAD</x:v>
      </x:c>
      <x:c r="J237" s="18" t="n">
        <x:v>2136.85</x:v>
      </x:c>
      <x:c r="K237" s="2" t="str">
        <x:v>TFSA-monthly-statement-transactions-DEMO_CAD-2025-08-01.csv</x:v>
      </x:c>
      <x:c r="L237" s="2" t="n">
        <x:v>8</x:v>
      </x:c>
      <x:c r="M237" s="2" t="str">
        <x:v>Non-resident tax (executed at 2025-08-21)</x:v>
      </x:c>
      <x:c r="N237" s="2" t="str">
        <x:v>Imported</x:v>
      </x:c>
      <x:c r="O237" s="17" t="n">
        <x:f>IF(F237="BUY",G237,IF(F237="SELL",-G237,IF(AND(F237="STKREORG",N237="Applied 4-for-1 CDR split"),G237,0)))</x:f>
        <x:v>0</x:v>
      </x:c>
      <x:c r="P237" s="17" t="n">
        <x:f>SUMIF($E$6:E236,E237,$O$6:O236)</x:f>
        <x:v>0</x:v>
      </x:c>
      <x:c r="Q237" s="18" t="n">
        <x:f>SUMIF($E$6:E236,E237,$S$6:S236)</x:f>
        <x:v>0</x:v>
      </x:c>
      <x:c r="R237" s="18" t="n">
        <x:f>IF(P237&gt;0,Q237/P237,0)</x:f>
        <x:v>0</x:v>
      </x:c>
      <x:c r="S237" s="18" t="n">
        <x:f>IF(F237="BUY",-H237,IF(F237="SELL",-G237*R237,0))</x:f>
        <x:v>0</x:v>
      </x:c>
      <x:c r="T237" s="18" t="n">
        <x:f>IF(F237="SELL",IF(G237&gt;P237+0.000001,"REVIEW",H237-G237*R237),0)</x:f>
        <x:v>0</x:v>
      </x:c>
      <x:c r="U237" s="17" t="n">
        <x:f>P237+O237</x:f>
        <x:v>0</x:v>
      </x:c>
      <x:c r="V237" s="18" t="n">
        <x:f>Q237+S237</x:f>
        <x:v>0</x:v>
      </x:c>
      <x:c r="W237" s="18" t="n">
        <x:f>IF(F237="DIV",H237,0)</x:f>
        <x:v>0</x:v>
      </x:c>
      <x:c r="X237" s="18" t="n">
        <x:f>IF(F237="CONT",H237,0)</x:f>
        <x:v>0</x:v>
      </x:c>
      <x:c r="Y237" s="2" t="str">
        <x:f>TEXT(C237,"yyyy-mm")</x:f>
        <x:v>2025-08</x:v>
      </x:c>
      <x:c r="Z237" s="2" t="str">
        <x:f>IF(OR(AND(F237="STKREORG",N237&lt;&gt;"Applied 4-for-1 CDR split"),AND(F237="SELL",G237&gt;P237+0.000001)),"REVIEW","OK")</x:f>
        <x:v>OK</x:v>
      </x:c>
    </x:row>
    <x:row r="238" ht="21" customHeight="1">
      <x:c r="A238" s="2"/>
      <x:c r="B238" s="2" t="str">
        <x:v>b1b9e0c49e2e964d7cc2</x:v>
      </x:c>
      <x:c r="C238" s="16" t="d">
        <x:v>2025-08-22T00:00:00.000Z</x:v>
      </x:c>
      <x:c r="D238" s="16" t="d">
        <x:v>2025-08-21T00:00:00.000Z</x:v>
      </x:c>
      <x:c r="E238" s="2" t="str">
        <x:v>AAPL_CDR</x:v>
      </x:c>
      <x:c r="F238" s="2" t="str">
        <x:v>BUY</x:v>
      </x:c>
      <x:c r="G238" s="17" t="n">
        <x:v>0.0135</x:v>
      </x:c>
      <x:c r="H238" s="18" t="n">
        <x:v>-0.44</x:v>
      </x:c>
      <x:c r="I238" s="18" t="str">
        <x:v>CAD</x:v>
      </x:c>
      <x:c r="J238" s="18" t="n">
        <x:v>2136.41</x:v>
      </x:c>
      <x:c r="K238" s="2" t="str">
        <x:v>TFSA-monthly-statement-transactions-DEMO_CAD-2025-08-01.csv</x:v>
      </x:c>
      <x:c r="L238" s="2" t="n">
        <x:v>9</x:v>
      </x:c>
      <x:c r="M238" s="2" t="str">
        <x:v>AAPL - Apple CDR (CAD Hedged) : Bought 0.0135 shares (executed at 2025-08-21)</x:v>
      </x:c>
      <x:c r="N238" s="2" t="str">
        <x:v>Imported</x:v>
      </x:c>
      <x:c r="O238" s="17" t="n">
        <x:f>IF(F238="BUY",G238,IF(F238="SELL",-G238,IF(AND(F238="STKREORG",N238="Applied 4-for-1 CDR split"),G238,0)))</x:f>
        <x:v>0.0135</x:v>
      </x:c>
      <x:c r="P238" s="17" t="n">
        <x:f>SUMIF($E$6:E237,E238,$O$6:O237)</x:f>
        <x:v>14.0158</x:v>
      </x:c>
      <x:c r="Q238" s="18" t="n">
        <x:f>SUMIF($E$6:E237,E238,$S$6:S237)</x:f>
        <x:v>399.22999999999996</x:v>
      </x:c>
      <x:c r="R238" s="18" t="n">
        <x:f>IF(P238&gt;0,Q238/P238,0)</x:f>
        <x:v>28.484282024572266</x:v>
      </x:c>
      <x:c r="S238" s="18" t="n">
        <x:f>IF(F238="BUY",-H238,IF(F238="SELL",-G238*R238,0))</x:f>
        <x:v>0.44</x:v>
      </x:c>
      <x:c r="T238" s="18" t="n">
        <x:f>IF(F238="SELL",IF(G238&gt;P238+0.000001,"REVIEW",H238-G238*R238),0)</x:f>
        <x:v>0</x:v>
      </x:c>
      <x:c r="U238" s="17" t="n">
        <x:f>P238+O238</x:f>
        <x:v>14.029300000000001</x:v>
      </x:c>
      <x:c r="V238" s="18" t="n">
        <x:f>Q238+S238</x:f>
        <x:v>399.66999999999996</x:v>
      </x:c>
      <x:c r="W238" s="18" t="n">
        <x:f>IF(F238="DIV",H238,0)</x:f>
        <x:v>0</x:v>
      </x:c>
      <x:c r="X238" s="18" t="n">
        <x:f>IF(F238="CONT",H238,0)</x:f>
        <x:v>0</x:v>
      </x:c>
      <x:c r="Y238" s="2" t="str">
        <x:f>TEXT(C238,"yyyy-mm")</x:f>
        <x:v>2025-08</x:v>
      </x:c>
      <x:c r="Z238" s="2" t="str">
        <x:f>IF(OR(AND(F238="STKREORG",N238&lt;&gt;"Applied 4-for-1 CDR split"),AND(F238="SELL",G238&gt;P238+0.000001)),"REVIEW","OK")</x:f>
        <x:v>OK</x:v>
      </x:c>
    </x:row>
    <x:row r="239" ht="21" customHeight="1">
      <x:c r="A239" s="2"/>
      <x:c r="B239" s="2" t="str">
        <x:v>fb17526bff3bec428316</x:v>
      </x:c>
      <x:c r="C239" s="16" t="d">
        <x:v>2025-08-22T00:00:00.000Z</x:v>
      </x:c>
      <x:c r="D239" s="16" t="d">
        <x:v>2025-08-22T00:00:00.000Z</x:v>
      </x:c>
      <x:c r="E239" s="2" t="str">
        <x:v>RY_ORD</x:v>
      </x:c>
      <x:c r="F239" s="2" t="str">
        <x:v>DIV</x:v>
      </x:c>
      <x:c r="G239" s="17" t="n">
        <x:v>0</x:v>
      </x:c>
      <x:c r="H239" s="18" t="n">
        <x:v>3.11</x:v>
      </x:c>
      <x:c r="I239" s="18" t="str">
        <x:v>CAD</x:v>
      </x:c>
      <x:c r="J239" s="18" t="n">
        <x:v>2139.52</x:v>
      </x:c>
      <x:c r="K239" s="2" t="str">
        <x:v>TFSA-monthly-statement-transactions-DEMO_CAD-2025-08-01.csv</x:v>
      </x:c>
      <x:c r="L239" s="2" t="n">
        <x:v>10</x:v>
      </x:c>
      <x:c r="M239" s="2" t="str">
        <x:v>RY - Royal Bank Of Canada: Cash dividend distribution, received on 2025-08-22, record date of 2025-07-24</x:v>
      </x:c>
      <x:c r="N239" s="2" t="str">
        <x:v>Imported</x:v>
      </x:c>
      <x:c r="O239" s="17" t="n">
        <x:f>IF(F239="BUY",G239,IF(F239="SELL",-G239,IF(AND(F239="STKREORG",N239="Applied 4-for-1 CDR split"),G239,0)))</x:f>
        <x:v>0</x:v>
      </x:c>
      <x:c r="P239" s="17" t="n">
        <x:f>SUMIF($E$6:E238,E239,$O$6:O238)</x:f>
        <x:v>2.0167</x:v>
      </x:c>
      <x:c r="Q239" s="18" t="n">
        <x:f>SUMIF($E$6:E238,E239,$S$6:S238)</x:f>
        <x:v>334.84999999999997</x:v>
      </x:c>
      <x:c r="R239" s="18" t="n">
        <x:f>IF(P239&gt;0,Q239/P239,0)</x:f>
        <x:v>166.03857787474584</x:v>
      </x:c>
      <x:c r="S239" s="18" t="n">
        <x:f>IF(F239="BUY",-H239,IF(F239="SELL",-G239*R239,0))</x:f>
        <x:v>0</x:v>
      </x:c>
      <x:c r="T239" s="18" t="n">
        <x:f>IF(F239="SELL",IF(G239&gt;P239+0.000001,"REVIEW",H239-G239*R239),0)</x:f>
        <x:v>0</x:v>
      </x:c>
      <x:c r="U239" s="17" t="n">
        <x:f>P239+O239</x:f>
        <x:v>2.0167</x:v>
      </x:c>
      <x:c r="V239" s="18" t="n">
        <x:f>Q239+S239</x:f>
        <x:v>334.84999999999997</x:v>
      </x:c>
      <x:c r="W239" s="18" t="n">
        <x:f>IF(F239="DIV",H239,0)</x:f>
        <x:v>3.11</x:v>
      </x:c>
      <x:c r="X239" s="18" t="n">
        <x:f>IF(F239="CONT",H239,0)</x:f>
        <x:v>0</x:v>
      </x:c>
      <x:c r="Y239" s="2" t="str">
        <x:f>TEXT(C239,"yyyy-mm")</x:f>
        <x:v>2025-08</x:v>
      </x:c>
      <x:c r="Z239" s="2" t="str">
        <x:f>IF(OR(AND(F239="STKREORG",N239&lt;&gt;"Applied 4-for-1 CDR split"),AND(F239="SELL",G239&gt;P239+0.000001)),"REVIEW","OK")</x:f>
        <x:v>OK</x:v>
      </x:c>
    </x:row>
    <x:row r="240" ht="21" customHeight="1">
      <x:c r="A240" s="2"/>
      <x:c r="B240" s="2" t="str">
        <x:v>57d8e609a4dd7a7d6ca6</x:v>
      </x:c>
      <x:c r="C240" s="16" t="d">
        <x:v>2025-08-25T00:00:00.000Z</x:v>
      </x:c>
      <x:c r="D240" s="16" t="d">
        <x:v>2025-08-22T00:00:00.000Z</x:v>
      </x:c>
      <x:c r="E240" s="2" t="str">
        <x:v>ENB_ORD</x:v>
      </x:c>
      <x:c r="F240" s="2" t="str">
        <x:v>BUY</x:v>
      </x:c>
      <x:c r="G240" s="17" t="n">
        <x:v>1</x:v>
      </x:c>
      <x:c r="H240" s="18" t="n">
        <x:v>-66.78</x:v>
      </x:c>
      <x:c r="I240" s="18" t="str">
        <x:v>CAD</x:v>
      </x:c>
      <x:c r="J240" s="18" t="n">
        <x:v>2072.74</x:v>
      </x:c>
      <x:c r="K240" s="2" t="str">
        <x:v>TFSA-monthly-statement-transactions-DEMO_CAD-2025-08-01.csv</x:v>
      </x:c>
      <x:c r="L240" s="2" t="n">
        <x:v>11</x:v>
      </x:c>
      <x:c r="M240" s="2" t="str">
        <x:v>ENB - Enbridge Inc: Bought 1.0000 shares (executed at 2025-08-22)</x:v>
      </x:c>
      <x:c r="N240" s="2" t="str">
        <x:v>Imported</x:v>
      </x:c>
      <x:c r="O240" s="17" t="n">
        <x:f>IF(F240="BUY",G240,IF(F240="SELL",-G240,IF(AND(F240="STKREORG",N240="Applied 4-for-1 CDR split"),G240,0)))</x:f>
        <x:v>1</x:v>
      </x:c>
      <x:c r="P240" s="17" t="n">
        <x:f>SUMIF($E$6:E239,E240,$O$6:O239)</x:f>
        <x:v>0</x:v>
      </x:c>
      <x:c r="Q240" s="18" t="n">
        <x:f>SUMIF($E$6:E239,E240,$S$6:S239)</x:f>
        <x:v>0</x:v>
      </x:c>
      <x:c r="R240" s="18" t="n">
        <x:f>IF(P240&gt;0,Q240/P240,0)</x:f>
        <x:v>0</x:v>
      </x:c>
      <x:c r="S240" s="18" t="n">
        <x:f>IF(F240="BUY",-H240,IF(F240="SELL",-G240*R240,0))</x:f>
        <x:v>66.78</x:v>
      </x:c>
      <x:c r="T240" s="18" t="n">
        <x:f>IF(F240="SELL",IF(G240&gt;P240+0.000001,"REVIEW",H240-G240*R240),0)</x:f>
        <x:v>0</x:v>
      </x:c>
      <x:c r="U240" s="17" t="n">
        <x:f>P240+O240</x:f>
        <x:v>1</x:v>
      </x:c>
      <x:c r="V240" s="18" t="n">
        <x:f>Q240+S240</x:f>
        <x:v>66.78</x:v>
      </x:c>
      <x:c r="W240" s="18" t="n">
        <x:f>IF(F240="DIV",H240,0)</x:f>
        <x:v>0</x:v>
      </x:c>
      <x:c r="X240" s="18" t="n">
        <x:f>IF(F240="CONT",H240,0)</x:f>
        <x:v>0</x:v>
      </x:c>
      <x:c r="Y240" s="2" t="str">
        <x:f>TEXT(C240,"yyyy-mm")</x:f>
        <x:v>2025-08</x:v>
      </x:c>
      <x:c r="Z240" s="2" t="str">
        <x:f>IF(OR(AND(F240="STKREORG",N240&lt;&gt;"Applied 4-for-1 CDR split"),AND(F240="SELL",G240&gt;P240+0.000001)),"REVIEW","OK")</x:f>
        <x:v>OK</x:v>
      </x:c>
    </x:row>
    <x:row r="241" ht="21" customHeight="1">
      <x:c r="A241" s="2"/>
      <x:c r="B241" s="2" t="str">
        <x:v>1ebfa9f9d4a14f77ba25</x:v>
      </x:c>
      <x:c r="C241" s="16" t="d">
        <x:v>2025-08-25T00:00:00.000Z</x:v>
      </x:c>
      <x:c r="D241" s="16" t="d">
        <x:v>2025-08-22T00:00:00.000Z</x:v>
      </x:c>
      <x:c r="E241" s="2" t="str">
        <x:v>AMZN_CDR</x:v>
      </x:c>
      <x:c r="F241" s="2" t="str">
        <x:v>BUY</x:v>
      </x:c>
      <x:c r="G241" s="17" t="n">
        <x:v>3</x:v>
      </x:c>
      <x:c r="H241" s="18" t="n">
        <x:v>-78.33</x:v>
      </x:c>
      <x:c r="I241" s="18" t="str">
        <x:v>CAD</x:v>
      </x:c>
      <x:c r="J241" s="18" t="n">
        <x:v>1994.41</x:v>
      </x:c>
      <x:c r="K241" s="2" t="str">
        <x:v>TFSA-monthly-statement-transactions-DEMO_CAD-2025-08-01.csv</x:v>
      </x:c>
      <x:c r="L241" s="2" t="n">
        <x:v>12</x:v>
      </x:c>
      <x:c r="M241" s="2" t="str">
        <x:v>AMZN - Amazon.com CDR (CAD Hedged): Bought 3.0000 shares (executed at 2025-08-22)</x:v>
      </x:c>
      <x:c r="N241" s="2" t="str">
        <x:v>Imported</x:v>
      </x:c>
      <x:c r="O241" s="17" t="n">
        <x:f>IF(F241="BUY",G241,IF(F241="SELL",-G241,IF(AND(F241="STKREORG",N241="Applied 4-for-1 CDR split"),G241,0)))</x:f>
        <x:v>3</x:v>
      </x:c>
      <x:c r="P241" s="17" t="n">
        <x:f>SUMIF($E$6:E240,E241,$O$6:O240)</x:f>
        <x:v>5</x:v>
      </x:c>
      <x:c r="Q241" s="18" t="n">
        <x:f>SUMIF($E$6:E240,E241,$S$6:S240)</x:f>
        <x:v>107.6</x:v>
      </x:c>
      <x:c r="R241" s="18" t="n">
        <x:f>IF(P241&gt;0,Q241/P241,0)</x:f>
        <x:v>21.52</x:v>
      </x:c>
      <x:c r="S241" s="18" t="n">
        <x:f>IF(F241="BUY",-H241,IF(F241="SELL",-G241*R241,0))</x:f>
        <x:v>78.33</x:v>
      </x:c>
      <x:c r="T241" s="18" t="n">
        <x:f>IF(F241="SELL",IF(G241&gt;P241+0.000001,"REVIEW",H241-G241*R241),0)</x:f>
        <x:v>0</x:v>
      </x:c>
      <x:c r="U241" s="17" t="n">
        <x:f>P241+O241</x:f>
        <x:v>8</x:v>
      </x:c>
      <x:c r="V241" s="18" t="n">
        <x:f>Q241+S241</x:f>
        <x:v>185.93</x:v>
      </x:c>
      <x:c r="W241" s="18" t="n">
        <x:f>IF(F241="DIV",H241,0)</x:f>
        <x:v>0</x:v>
      </x:c>
      <x:c r="X241" s="18" t="n">
        <x:f>IF(F241="CONT",H241,0)</x:f>
        <x:v>0</x:v>
      </x:c>
      <x:c r="Y241" s="2" t="str">
        <x:f>TEXT(C241,"yyyy-mm")</x:f>
        <x:v>2025-08</x:v>
      </x:c>
      <x:c r="Z241" s="2" t="str">
        <x:f>IF(OR(AND(F241="STKREORG",N241&lt;&gt;"Applied 4-for-1 CDR split"),AND(F241="SELL",G241&gt;P241+0.000001)),"REVIEW","OK")</x:f>
        <x:v>OK</x:v>
      </x:c>
    </x:row>
    <x:row r="242" ht="21" customHeight="1">
      <x:c r="A242" s="2"/>
      <x:c r="B242" s="2" t="str">
        <x:v>c9de844a5fe09bdef500</x:v>
      </x:c>
      <x:c r="C242" s="16" t="d">
        <x:v>2025-08-25T00:00:00.000Z</x:v>
      </x:c>
      <x:c r="D242" s="16" t="d">
        <x:v>2025-08-22T00:00:00.000Z</x:v>
      </x:c>
      <x:c r="E242" s="2" t="str">
        <x:v>VFV_ORD</x:v>
      </x:c>
      <x:c r="F242" s="2" t="str">
        <x:v>BUY</x:v>
      </x:c>
      <x:c r="G242" s="17" t="n">
        <x:v>3</x:v>
      </x:c>
      <x:c r="H242" s="18" t="n">
        <x:v>-474.12</x:v>
      </x:c>
      <x:c r="I242" s="18" t="str">
        <x:v>CAD</x:v>
      </x:c>
      <x:c r="J242" s="18" t="n">
        <x:v>1520.29</x:v>
      </x:c>
      <x:c r="K242" s="2" t="str">
        <x:v>TFSA-monthly-statement-transactions-DEMO_CAD-2025-08-01.csv</x:v>
      </x:c>
      <x:c r="L242" s="2" t="n">
        <x:v>13</x:v>
      </x:c>
      <x:c r="M242" s="2" t="str">
        <x:v>VFV - Vanguard S&amp;P 500 Index ETF: Bought 3.0000 shares (executed at 2025-08-22)</x:v>
      </x:c>
      <x:c r="N242" s="2" t="str">
        <x:v>Imported</x:v>
      </x:c>
      <x:c r="O242" s="17" t="n">
        <x:f>IF(F242="BUY",G242,IF(F242="SELL",-G242,IF(AND(F242="STKREORG",N242="Applied 4-for-1 CDR split"),G242,0)))</x:f>
        <x:v>3</x:v>
      </x:c>
      <x:c r="P242" s="17" t="n">
        <x:f>SUMIF($E$6:E241,E242,$O$6:O241)</x:f>
        <x:v>48.1454</x:v>
      </x:c>
      <x:c r="Q242" s="18" t="n">
        <x:f>SUMIF($E$6:E241,E242,$S$6:S241)</x:f>
        <x:v>7128.439991735696</x:v>
      </x:c>
      <x:c r="R242" s="18" t="n">
        <x:f>IF(P242&gt;0,Q242/P242,0)</x:f>
        <x:v>148.06066606021957</x:v>
      </x:c>
      <x:c r="S242" s="18" t="n">
        <x:f>IF(F242="BUY",-H242,IF(F242="SELL",-G242*R242,0))</x:f>
        <x:v>474.12</x:v>
      </x:c>
      <x:c r="T242" s="18" t="n">
        <x:f>IF(F242="SELL",IF(G242&gt;P242+0.000001,"REVIEW",H242-G242*R242),0)</x:f>
        <x:v>0</x:v>
      </x:c>
      <x:c r="U242" s="17" t="n">
        <x:f>P242+O242</x:f>
        <x:v>51.1454</x:v>
      </x:c>
      <x:c r="V242" s="18" t="n">
        <x:f>Q242+S242</x:f>
        <x:v>7602.559991735696</x:v>
      </x:c>
      <x:c r="W242" s="18" t="n">
        <x:f>IF(F242="DIV",H242,0)</x:f>
        <x:v>0</x:v>
      </x:c>
      <x:c r="X242" s="18" t="n">
        <x:f>IF(F242="CONT",H242,0)</x:f>
        <x:v>0</x:v>
      </x:c>
      <x:c r="Y242" s="2" t="str">
        <x:f>TEXT(C242,"yyyy-mm")</x:f>
        <x:v>2025-08</x:v>
      </x:c>
      <x:c r="Z242" s="2" t="str">
        <x:f>IF(OR(AND(F242="STKREORG",N242&lt;&gt;"Applied 4-for-1 CDR split"),AND(F242="SELL",G242&gt;P242+0.000001)),"REVIEW","OK")</x:f>
        <x:v>OK</x:v>
      </x:c>
    </x:row>
    <x:row r="243" ht="21" customHeight="1">
      <x:c r="A243" s="2"/>
      <x:c r="B243" s="2" t="str">
        <x:v>bed7be639fd3148a004c</x:v>
      </x:c>
      <x:c r="C243" s="16" t="d">
        <x:v>2025-08-25T00:00:00.000Z</x:v>
      </x:c>
      <x:c r="D243" s="16" t="d">
        <x:v>2025-08-22T00:00:00.000Z</x:v>
      </x:c>
      <x:c r="E243" s="2" t="str">
        <x:v>AC_ORD</x:v>
      </x:c>
      <x:c r="F243" s="2" t="str">
        <x:v>BUY</x:v>
      </x:c>
      <x:c r="G243" s="17" t="n">
        <x:v>10</x:v>
      </x:c>
      <x:c r="H243" s="18" t="n">
        <x:v>-193.7</x:v>
      </x:c>
      <x:c r="I243" s="18" t="str">
        <x:v>CAD</x:v>
      </x:c>
      <x:c r="J243" s="18" t="n">
        <x:v>1326.59</x:v>
      </x:c>
      <x:c r="K243" s="2" t="str">
        <x:v>TFSA-monthly-statement-transactions-DEMO_CAD-2025-08-01.csv</x:v>
      </x:c>
      <x:c r="L243" s="2" t="n">
        <x:v>14</x:v>
      </x:c>
      <x:c r="M243" s="2" t="str">
        <x:v>AC - Air Canada Inc.: Bought 10.0000 shares (executed at 2025-08-22)</x:v>
      </x:c>
      <x:c r="N243" s="2" t="str">
        <x:v>Imported</x:v>
      </x:c>
      <x:c r="O243" s="17" t="n">
        <x:f>IF(F243="BUY",G243,IF(F243="SELL",-G243,IF(AND(F243="STKREORG",N243="Applied 4-for-1 CDR split"),G243,0)))</x:f>
        <x:v>10</x:v>
      </x:c>
      <x:c r="P243" s="17" t="n">
        <x:f>SUMIF($E$6:E242,E243,$O$6:O242)</x:f>
        <x:v>0</x:v>
      </x:c>
      <x:c r="Q243" s="18" t="n">
        <x:f>SUMIF($E$6:E242,E243,$S$6:S242)</x:f>
        <x:v>0</x:v>
      </x:c>
      <x:c r="R243" s="18" t="n">
        <x:f>IF(P243&gt;0,Q243/P243,0)</x:f>
        <x:v>0</x:v>
      </x:c>
      <x:c r="S243" s="18" t="n">
        <x:f>IF(F243="BUY",-H243,IF(F243="SELL",-G243*R243,0))</x:f>
        <x:v>193.7</x:v>
      </x:c>
      <x:c r="T243" s="18" t="n">
        <x:f>IF(F243="SELL",IF(G243&gt;P243+0.000001,"REVIEW",H243-G243*R243),0)</x:f>
        <x:v>0</x:v>
      </x:c>
      <x:c r="U243" s="17" t="n">
        <x:f>P243+O243</x:f>
        <x:v>10</x:v>
      </x:c>
      <x:c r="V243" s="18" t="n">
        <x:f>Q243+S243</x:f>
        <x:v>193.7</x:v>
      </x:c>
      <x:c r="W243" s="18" t="n">
        <x:f>IF(F243="DIV",H243,0)</x:f>
        <x:v>0</x:v>
      </x:c>
      <x:c r="X243" s="18" t="n">
        <x:f>IF(F243="CONT",H243,0)</x:f>
        <x:v>0</x:v>
      </x:c>
      <x:c r="Y243" s="2" t="str">
        <x:f>TEXT(C243,"yyyy-mm")</x:f>
        <x:v>2025-08</x:v>
      </x:c>
      <x:c r="Z243" s="2" t="str">
        <x:f>IF(OR(AND(F243="STKREORG",N243&lt;&gt;"Applied 4-for-1 CDR split"),AND(F243="SELL",G243&gt;P243+0.000001)),"REVIEW","OK")</x:f>
        <x:v>OK</x:v>
      </x:c>
    </x:row>
    <x:row r="244" ht="21" customHeight="1">
      <x:c r="A244" s="2"/>
      <x:c r="B244" s="2" t="str">
        <x:v>a93004bbe2c3c5cf9724</x:v>
      </x:c>
      <x:c r="C244" s="16" t="d">
        <x:v>2025-08-25T00:00:00.000Z</x:v>
      </x:c>
      <x:c r="D244" s="16" t="d">
        <x:v>2025-08-22T00:00:00.000Z</x:v>
      </x:c>
      <x:c r="E244" s="2" t="str">
        <x:v>VDY_ORD</x:v>
      </x:c>
      <x:c r="F244" s="2" t="str">
        <x:v>BUY</x:v>
      </x:c>
      <x:c r="G244" s="17" t="n">
        <x:v>2</x:v>
      </x:c>
      <x:c r="H244" s="18" t="n">
        <x:v>-109.02</x:v>
      </x:c>
      <x:c r="I244" s="18" t="str">
        <x:v>CAD</x:v>
      </x:c>
      <x:c r="J244" s="18" t="n">
        <x:v>1217.57</x:v>
      </x:c>
      <x:c r="K244" s="2" t="str">
        <x:v>TFSA-monthly-statement-transactions-DEMO_CAD-2025-08-01.csv</x:v>
      </x:c>
      <x:c r="L244" s="2" t="n">
        <x:v>15</x:v>
      </x:c>
      <x:c r="M244" s="2" t="str">
        <x:v>VDY - Vanguard FTSE Canadian High Dividend Yield Index ETF: Bought 2.0000 shares (executed at 2025-08-22)</x:v>
      </x:c>
      <x:c r="N244" s="2" t="str">
        <x:v>Imported</x:v>
      </x:c>
      <x:c r="O244" s="17" t="n">
        <x:f>IF(F244="BUY",G244,IF(F244="SELL",-G244,IF(AND(F244="STKREORG",N244="Applied 4-for-1 CDR split"),G244,0)))</x:f>
        <x:v>2</x:v>
      </x:c>
      <x:c r="P244" s="17" t="n">
        <x:f>SUMIF($E$6:E243,E244,$O$6:O243)</x:f>
        <x:v>4.999999999999998</x:v>
      </x:c>
      <x:c r="Q244" s="18" t="n">
        <x:f>SUMIF($E$6:E243,E244,$S$6:S243)</x:f>
        <x:v>264.09999999999997</x:v>
      </x:c>
      <x:c r="R244" s="18" t="n">
        <x:f>IF(P244&gt;0,Q244/P244,0)</x:f>
        <x:v>52.820000000000014</x:v>
      </x:c>
      <x:c r="S244" s="18" t="n">
        <x:f>IF(F244="BUY",-H244,IF(F244="SELL",-G244*R244,0))</x:f>
        <x:v>109.02</x:v>
      </x:c>
      <x:c r="T244" s="18" t="n">
        <x:f>IF(F244="SELL",IF(G244&gt;P244+0.000001,"REVIEW",H244-G244*R244),0)</x:f>
        <x:v>0</x:v>
      </x:c>
      <x:c r="U244" s="17" t="n">
        <x:f>P244+O244</x:f>
        <x:v>6.999999999999998</x:v>
      </x:c>
      <x:c r="V244" s="18" t="n">
        <x:f>Q244+S244</x:f>
        <x:v>373.11999999999995</x:v>
      </x:c>
      <x:c r="W244" s="18" t="n">
        <x:f>IF(F244="DIV",H244,0)</x:f>
        <x:v>0</x:v>
      </x:c>
      <x:c r="X244" s="18" t="n">
        <x:f>IF(F244="CONT",H244,0)</x:f>
        <x:v>0</x:v>
      </x:c>
      <x:c r="Y244" s="2" t="str">
        <x:f>TEXT(C244,"yyyy-mm")</x:f>
        <x:v>2025-08</x:v>
      </x:c>
      <x:c r="Z244" s="2" t="str">
        <x:f>IF(OR(AND(F244="STKREORG",N244&lt;&gt;"Applied 4-for-1 CDR split"),AND(F244="SELL",G244&gt;P244+0.000001)),"REVIEW","OK")</x:f>
        <x:v>OK</x:v>
      </x:c>
    </x:row>
    <x:row r="245" ht="21" customHeight="1">
      <x:c r="A245" s="2"/>
      <x:c r="B245" s="2" t="str">
        <x:v>b18c6ed2bf192adaf8a4</x:v>
      </x:c>
      <x:c r="C245" s="16" t="d">
        <x:v>2025-08-25T00:00:00.000Z</x:v>
      </x:c>
      <x:c r="D245" s="16" t="d">
        <x:v>2025-08-22T00:00:00.000Z</x:v>
      </x:c>
      <x:c r="E245" s="2" t="str">
        <x:v>CPX_ORD</x:v>
      </x:c>
      <x:c r="F245" s="2" t="str">
        <x:v>BUY</x:v>
      </x:c>
      <x:c r="G245" s="17" t="n">
        <x:v>2</x:v>
      </x:c>
      <x:c r="H245" s="18" t="n">
        <x:v>-120.76</x:v>
      </x:c>
      <x:c r="I245" s="18" t="str">
        <x:v>CAD</x:v>
      </x:c>
      <x:c r="J245" s="18" t="n">
        <x:v>1096.81</x:v>
      </x:c>
      <x:c r="K245" s="2" t="str">
        <x:v>TFSA-monthly-statement-transactions-DEMO_CAD-2025-08-01.csv</x:v>
      </x:c>
      <x:c r="L245" s="2" t="n">
        <x:v>16</x:v>
      </x:c>
      <x:c r="M245" s="2" t="str">
        <x:v>CPX - Capital Power Corp: Bought 2.0000 shares (executed at 2025-08-22)</x:v>
      </x:c>
      <x:c r="N245" s="2" t="str">
        <x:v>Imported</x:v>
      </x:c>
      <x:c r="O245" s="17" t="n">
        <x:f>IF(F245="BUY",G245,IF(F245="SELL",-G245,IF(AND(F245="STKREORG",N245="Applied 4-for-1 CDR split"),G245,0)))</x:f>
        <x:v>2</x:v>
      </x:c>
      <x:c r="P245" s="17" t="n">
        <x:f>SUMIF($E$6:E244,E245,$O$6:O244)</x:f>
        <x:v>0</x:v>
      </x:c>
      <x:c r="Q245" s="18" t="n">
        <x:f>SUMIF($E$6:E244,E245,$S$6:S244)</x:f>
        <x:v>0</x:v>
      </x:c>
      <x:c r="R245" s="18" t="n">
        <x:f>IF(P245&gt;0,Q245/P245,0)</x:f>
        <x:v>0</x:v>
      </x:c>
      <x:c r="S245" s="18" t="n">
        <x:f>IF(F245="BUY",-H245,IF(F245="SELL",-G245*R245,0))</x:f>
        <x:v>120.76</x:v>
      </x:c>
      <x:c r="T245" s="18" t="n">
        <x:f>IF(F245="SELL",IF(G245&gt;P245+0.000001,"REVIEW",H245-G245*R245),0)</x:f>
        <x:v>0</x:v>
      </x:c>
      <x:c r="U245" s="17" t="n">
        <x:f>P245+O245</x:f>
        <x:v>2</x:v>
      </x:c>
      <x:c r="V245" s="18" t="n">
        <x:f>Q245+S245</x:f>
        <x:v>120.76</x:v>
      </x:c>
      <x:c r="W245" s="18" t="n">
        <x:f>IF(F245="DIV",H245,0)</x:f>
        <x:v>0</x:v>
      </x:c>
      <x:c r="X245" s="18" t="n">
        <x:f>IF(F245="CONT",H245,0)</x:f>
        <x:v>0</x:v>
      </x:c>
      <x:c r="Y245" s="2" t="str">
        <x:f>TEXT(C245,"yyyy-mm")</x:f>
        <x:v>2025-08</x:v>
      </x:c>
      <x:c r="Z245" s="2" t="str">
        <x:f>IF(OR(AND(F245="STKREORG",N245&lt;&gt;"Applied 4-for-1 CDR split"),AND(F245="SELL",G245&gt;P245+0.000001)),"REVIEW","OK")</x:f>
        <x:v>OK</x:v>
      </x:c>
    </x:row>
    <x:row r="246" ht="21" customHeight="1">
      <x:c r="A246" s="2"/>
      <x:c r="B246" s="2" t="str">
        <x:v>08805985dcdf2bd3c3b0</x:v>
      </x:c>
      <x:c r="C246" s="16" t="d">
        <x:v>2025-08-25T00:00:00.000Z</x:v>
      </x:c>
      <x:c r="D246" s="16" t="d">
        <x:v>2025-08-22T00:00:00.000Z</x:v>
      </x:c>
      <x:c r="E246" s="2" t="str">
        <x:v>RY_ORD</x:v>
      </x:c>
      <x:c r="F246" s="2" t="str">
        <x:v>BUY</x:v>
      </x:c>
      <x:c r="G246" s="17" t="n">
        <x:v>0.0162</x:v>
      </x:c>
      <x:c r="H246" s="18" t="n">
        <x:v>-3.1</x:v>
      </x:c>
      <x:c r="I246" s="18" t="str">
        <x:v>CAD</x:v>
      </x:c>
      <x:c r="J246" s="18" t="n">
        <x:v>1093.71</x:v>
      </x:c>
      <x:c r="K246" s="2" t="str">
        <x:v>TFSA-monthly-statement-transactions-DEMO_CAD-2025-08-01.csv</x:v>
      </x:c>
      <x:c r="L246" s="2" t="n">
        <x:v>17</x:v>
      </x:c>
      <x:c r="M246" s="2" t="str">
        <x:v>RY - Royal Bank Of Canada: Bought 0.0162 shares (executed at 2025-08-22)</x:v>
      </x:c>
      <x:c r="N246" s="2" t="str">
        <x:v>Imported</x:v>
      </x:c>
      <x:c r="O246" s="17" t="n">
        <x:f>IF(F246="BUY",G246,IF(F246="SELL",-G246,IF(AND(F246="STKREORG",N246="Applied 4-for-1 CDR split"),G246,0)))</x:f>
        <x:v>0.0162</x:v>
      </x:c>
      <x:c r="P246" s="17" t="n">
        <x:f>SUMIF($E$6:E245,E246,$O$6:O245)</x:f>
        <x:v>2.0167</x:v>
      </x:c>
      <x:c r="Q246" s="18" t="n">
        <x:f>SUMIF($E$6:E245,E246,$S$6:S245)</x:f>
        <x:v>334.84999999999997</x:v>
      </x:c>
      <x:c r="R246" s="18" t="n">
        <x:f>IF(P246&gt;0,Q246/P246,0)</x:f>
        <x:v>166.03857787474584</x:v>
      </x:c>
      <x:c r="S246" s="18" t="n">
        <x:f>IF(F246="BUY",-H246,IF(F246="SELL",-G246*R246,0))</x:f>
        <x:v>3.1</x:v>
      </x:c>
      <x:c r="T246" s="18" t="n">
        <x:f>IF(F246="SELL",IF(G246&gt;P246+0.000001,"REVIEW",H246-G246*R246),0)</x:f>
        <x:v>0</x:v>
      </x:c>
      <x:c r="U246" s="17" t="n">
        <x:f>P246+O246</x:f>
        <x:v>2.0329</x:v>
      </x:c>
      <x:c r="V246" s="18" t="n">
        <x:f>Q246+S246</x:f>
        <x:v>337.95</x:v>
      </x:c>
      <x:c r="W246" s="18" t="n">
        <x:f>IF(F246="DIV",H246,0)</x:f>
        <x:v>0</x:v>
      </x:c>
      <x:c r="X246" s="18" t="n">
        <x:f>IF(F246="CONT",H246,0)</x:f>
        <x:v>0</x:v>
      </x:c>
      <x:c r="Y246" s="2" t="str">
        <x:f>TEXT(C246,"yyyy-mm")</x:f>
        <x:v>2025-08</x:v>
      </x:c>
      <x:c r="Z246" s="2" t="str">
        <x:f>IF(OR(AND(F246="STKREORG",N246&lt;&gt;"Applied 4-for-1 CDR split"),AND(F246="SELL",G246&gt;P246+0.000001)),"REVIEW","OK")</x:f>
        <x:v>OK</x:v>
      </x:c>
    </x:row>
    <x:row r="247" ht="21" customHeight="1">
      <x:c r="A247" s="2"/>
      <x:c r="B247" s="2" t="str">
        <x:v>be8bdaad75aabf1906c9</x:v>
      </x:c>
      <x:c r="C247" s="16" t="d">
        <x:v>2025-09-04T00:00:00.000Z</x:v>
      </x:c>
      <x:c r="D247" s="16" t="d">
        <x:v>2025-09-03T00:00:00.000Z</x:v>
      </x:c>
      <x:c r="E247" s="2" t="str">
        <x:v>AMZN_CDR</x:v>
      </x:c>
      <x:c r="F247" s="2" t="str">
        <x:v>BUY</x:v>
      </x:c>
      <x:c r="G247" s="17" t="n">
        <x:v>3</x:v>
      </x:c>
      <x:c r="H247" s="18" t="n">
        <x:v>-78.96</x:v>
      </x:c>
      <x:c r="I247" s="18" t="str">
        <x:v>CAD</x:v>
      </x:c>
      <x:c r="J247" s="18" t="n">
        <x:v>1014.75</x:v>
      </x:c>
      <x:c r="K247" s="2" t="str">
        <x:v>TFSA-monthly-statement-transactions-DEMO_CAD-2025-09-01.csv</x:v>
      </x:c>
      <x:c r="L247" s="2" t="n">
        <x:v>2</x:v>
      </x:c>
      <x:c r="M247" s="2" t="str">
        <x:v>AMZN - Amazon.com CDR (CAD Hedged): Bought 3.0000 shares (executed at 2025-09-03)</x:v>
      </x:c>
      <x:c r="N247" s="2" t="str">
        <x:v>Imported</x:v>
      </x:c>
      <x:c r="O247" s="17" t="n">
        <x:f>IF(F247="BUY",G247,IF(F247="SELL",-G247,IF(AND(F247="STKREORG",N247="Applied 4-for-1 CDR split"),G247,0)))</x:f>
        <x:v>3</x:v>
      </x:c>
      <x:c r="P247" s="17" t="n">
        <x:f>SUMIF($E$6:E246,E247,$O$6:O246)</x:f>
        <x:v>8</x:v>
      </x:c>
      <x:c r="Q247" s="18" t="n">
        <x:f>SUMIF($E$6:E246,E247,$S$6:S246)</x:f>
        <x:v>185.93</x:v>
      </x:c>
      <x:c r="R247" s="18" t="n">
        <x:f>IF(P247&gt;0,Q247/P247,0)</x:f>
        <x:v>23.24125</x:v>
      </x:c>
      <x:c r="S247" s="18" t="n">
        <x:f>IF(F247="BUY",-H247,IF(F247="SELL",-G247*R247,0))</x:f>
        <x:v>78.96</x:v>
      </x:c>
      <x:c r="T247" s="18" t="n">
        <x:f>IF(F247="SELL",IF(G247&gt;P247+0.000001,"REVIEW",H247-G247*R247),0)</x:f>
        <x:v>0</x:v>
      </x:c>
      <x:c r="U247" s="17" t="n">
        <x:f>P247+O247</x:f>
        <x:v>11</x:v>
      </x:c>
      <x:c r="V247" s="18" t="n">
        <x:f>Q247+S247</x:f>
        <x:v>264.89</x:v>
      </x:c>
      <x:c r="W247" s="18" t="n">
        <x:f>IF(F247="DIV",H247,0)</x:f>
        <x:v>0</x:v>
      </x:c>
      <x:c r="X247" s="18" t="n">
        <x:f>IF(F247="CONT",H247,0)</x:f>
        <x:v>0</x:v>
      </x:c>
      <x:c r="Y247" s="2" t="str">
        <x:f>TEXT(C247,"yyyy-mm")</x:f>
        <x:v>2025-09</x:v>
      </x:c>
      <x:c r="Z247" s="2" t="str">
        <x:f>IF(OR(AND(F247="STKREORG",N247&lt;&gt;"Applied 4-for-1 CDR split"),AND(F247="SELL",G247&gt;P247+0.000001)),"REVIEW","OK")</x:f>
        <x:v>OK</x:v>
      </x:c>
    </x:row>
    <x:row r="248" ht="21" customHeight="1">
      <x:c r="A248" s="2"/>
      <x:c r="B248" s="2" t="str">
        <x:v>efd5fa8c679d73eab0db</x:v>
      </x:c>
      <x:c r="C248" s="16" t="d">
        <x:v>2025-09-04T00:00:00.000Z</x:v>
      </x:c>
      <x:c r="D248" s="16" t="d">
        <x:v>2025-09-04T00:00:00.000Z</x:v>
      </x:c>
      <x:c r="E248" s="2" t="str">
        <x:v>ZMMK_ORD</x:v>
      </x:c>
      <x:c r="F248" s="2" t="str">
        <x:v>DIV</x:v>
      </x:c>
      <x:c r="G248" s="17" t="n">
        <x:v>0</x:v>
      </x:c>
      <x:c r="H248" s="18" t="n">
        <x:v>8.77</x:v>
      </x:c>
      <x:c r="I248" s="18" t="str">
        <x:v>CAD</x:v>
      </x:c>
      <x:c r="J248" s="18" t="n">
        <x:v>1023.52</x:v>
      </x:c>
      <x:c r="K248" s="2" t="str">
        <x:v>TFSA-monthly-statement-transactions-DEMO_CAD-2025-09-01.csv</x:v>
      </x:c>
      <x:c r="L248" s="2" t="n">
        <x:v>3</x:v>
      </x:c>
      <x:c r="M248" s="2" t="str">
        <x:v>ZMMK - BMO Money Market Fund ETF: Cash dividend distribution, received on 2025-09-04, record date of 2025-08-28</x:v>
      </x:c>
      <x:c r="N248" s="2" t="str">
        <x:v>Imported</x:v>
      </x:c>
      <x:c r="O248" s="17" t="n">
        <x:f>IF(F248="BUY",G248,IF(F248="SELL",-G248,IF(AND(F248="STKREORG",N248="Applied 4-for-1 CDR split"),G248,0)))</x:f>
        <x:v>0</x:v>
      </x:c>
      <x:c r="P248" s="17" t="n">
        <x:f>SUMIF($E$6:E247,E248,$O$6:O247)</x:f>
        <x:v>76.2703</x:v>
      </x:c>
      <x:c r="Q248" s="18" t="n">
        <x:f>SUMIF($E$6:E247,E248,$S$6:S247)</x:f>
        <x:v>3807.8598770807594</x:v>
      </x:c>
      <x:c r="R248" s="18" t="n">
        <x:f>IF(P248&gt;0,Q248/P248,0)</x:f>
        <x:v>49.9258541933198</x:v>
      </x:c>
      <x:c r="S248" s="18" t="n">
        <x:f>IF(F248="BUY",-H248,IF(F248="SELL",-G248*R248,0))</x:f>
        <x:v>0</x:v>
      </x:c>
      <x:c r="T248" s="18" t="n">
        <x:f>IF(F248="SELL",IF(G248&gt;P248+0.000001,"REVIEW",H248-G248*R248),0)</x:f>
        <x:v>0</x:v>
      </x:c>
      <x:c r="U248" s="17" t="n">
        <x:f>P248+O248</x:f>
        <x:v>76.2703</x:v>
      </x:c>
      <x:c r="V248" s="18" t="n">
        <x:f>Q248+S248</x:f>
        <x:v>3807.8598770807594</x:v>
      </x:c>
      <x:c r="W248" s="18" t="n">
        <x:f>IF(F248="DIV",H248,0)</x:f>
        <x:v>8.77</x:v>
      </x:c>
      <x:c r="X248" s="18" t="n">
        <x:f>IF(F248="CONT",H248,0)</x:f>
        <x:v>0</x:v>
      </x:c>
      <x:c r="Y248" s="2" t="str">
        <x:f>TEXT(C248,"yyyy-mm")</x:f>
        <x:v>2025-09</x:v>
      </x:c>
      <x:c r="Z248" s="2" t="str">
        <x:f>IF(OR(AND(F248="STKREORG",N248&lt;&gt;"Applied 4-for-1 CDR split"),AND(F248="SELL",G248&gt;P248+0.000001)),"REVIEW","OK")</x:f>
        <x:v>OK</x:v>
      </x:c>
    </x:row>
    <x:row r="249" ht="21" customHeight="1">
      <x:c r="A249" s="2"/>
      <x:c r="B249" s="2" t="str">
        <x:v>6274523d9068e20d58e6</x:v>
      </x:c>
      <x:c r="C249" s="16" t="d">
        <x:v>2025-09-08T00:00:00.000Z</x:v>
      </x:c>
      <x:c r="D249" s="16" t="d">
        <x:v>2025-09-05T00:00:00.000Z</x:v>
      </x:c>
      <x:c r="E249" s="2" t="str">
        <x:v>ZMMK_ORD</x:v>
      </x:c>
      <x:c r="F249" s="2" t="str">
        <x:v>BUY</x:v>
      </x:c>
      <x:c r="G249" s="17" t="n">
        <x:v>0.1758</x:v>
      </x:c>
      <x:c r="H249" s="18" t="n">
        <x:v>-8.77</x:v>
      </x:c>
      <x:c r="I249" s="18" t="str">
        <x:v>CAD</x:v>
      </x:c>
      <x:c r="J249" s="18" t="n">
        <x:v>1014.75</x:v>
      </x:c>
      <x:c r="K249" s="2" t="str">
        <x:v>TFSA-monthly-statement-transactions-DEMO_CAD-2025-09-01.csv</x:v>
      </x:c>
      <x:c r="L249" s="2" t="n">
        <x:v>4</x:v>
      </x:c>
      <x:c r="M249" s="2" t="str">
        <x:v>ZMMK - BMO Money Market Fund ETF: Bought 0.1758 shares (executed at 2025-09-05)</x:v>
      </x:c>
      <x:c r="N249" s="2" t="str">
        <x:v>Imported</x:v>
      </x:c>
      <x:c r="O249" s="17" t="n">
        <x:f>IF(F249="BUY",G249,IF(F249="SELL",-G249,IF(AND(F249="STKREORG",N249="Applied 4-for-1 CDR split"),G249,0)))</x:f>
        <x:v>0.1758</x:v>
      </x:c>
      <x:c r="P249" s="17" t="n">
        <x:f>SUMIF($E$6:E248,E249,$O$6:O248)</x:f>
        <x:v>76.2703</x:v>
      </x:c>
      <x:c r="Q249" s="18" t="n">
        <x:f>SUMIF($E$6:E248,E249,$S$6:S248)</x:f>
        <x:v>3807.8598770807594</x:v>
      </x:c>
      <x:c r="R249" s="18" t="n">
        <x:f>IF(P249&gt;0,Q249/P249,0)</x:f>
        <x:v>49.9258541933198</x:v>
      </x:c>
      <x:c r="S249" s="18" t="n">
        <x:f>IF(F249="BUY",-H249,IF(F249="SELL",-G249*R249,0))</x:f>
        <x:v>8.77</x:v>
      </x:c>
      <x:c r="T249" s="18" t="n">
        <x:f>IF(F249="SELL",IF(G249&gt;P249+0.000001,"REVIEW",H249-G249*R249),0)</x:f>
        <x:v>0</x:v>
      </x:c>
      <x:c r="U249" s="17" t="n">
        <x:f>P249+O249</x:f>
        <x:v>76.4461</x:v>
      </x:c>
      <x:c r="V249" s="18" t="n">
        <x:f>Q249+S249</x:f>
        <x:v>3816.6298770807593</x:v>
      </x:c>
      <x:c r="W249" s="18" t="n">
        <x:f>IF(F249="DIV",H249,0)</x:f>
        <x:v>0</x:v>
      </x:c>
      <x:c r="X249" s="18" t="n">
        <x:f>IF(F249="CONT",H249,0)</x:f>
        <x:v>0</x:v>
      </x:c>
      <x:c r="Y249" s="2" t="str">
        <x:f>TEXT(C249,"yyyy-mm")</x:f>
        <x:v>2025-09</x:v>
      </x:c>
      <x:c r="Z249" s="2" t="str">
        <x:f>IF(OR(AND(F249="STKREORG",N249&lt;&gt;"Applied 4-for-1 CDR split"),AND(F249="SELL",G249&gt;P249+0.000001)),"REVIEW","OK")</x:f>
        <x:v>OK</x:v>
      </x:c>
    </x:row>
    <x:row r="250" ht="21" customHeight="1">
      <x:c r="A250" s="2"/>
      <x:c r="B250" s="2" t="str">
        <x:v>816c4b65d03ed898edd3</x:v>
      </x:c>
      <x:c r="C250" s="16" t="d">
        <x:v>2025-09-09T00:00:00.000Z</x:v>
      </x:c>
      <x:c r="D250" s="16" t="d">
        <x:v>2025-09-09T00:00:00.000Z</x:v>
      </x:c>
      <x:c r="E250" s="2" t="str">
        <x:v>VDY_ORD</x:v>
      </x:c>
      <x:c r="F250" s="2" t="str">
        <x:v>DIV</x:v>
      </x:c>
      <x:c r="G250" s="17" t="n">
        <x:v>0</x:v>
      </x:c>
      <x:c r="H250" s="18" t="n">
        <x:v>1.64</x:v>
      </x:c>
      <x:c r="I250" s="18" t="str">
        <x:v>CAD</x:v>
      </x:c>
      <x:c r="J250" s="18" t="n">
        <x:v>1016.39</x:v>
      </x:c>
      <x:c r="K250" s="2" t="str">
        <x:v>TFSA-monthly-statement-transactions-DEMO_CAD-2025-09-01.csv</x:v>
      </x:c>
      <x:c r="L250" s="2" t="n">
        <x:v>5</x:v>
      </x:c>
      <x:c r="M250" s="2" t="str">
        <x:v>VDY - Vanguard FTSE Canadian High Dividend Yield Index ETF: Cash dividend distribution, received on 2025-09-09, record date of 2025-09-02</x:v>
      </x:c>
      <x:c r="N250" s="2" t="str">
        <x:v>Imported</x:v>
      </x:c>
      <x:c r="O250" s="17" t="n">
        <x:f>IF(F250="BUY",G250,IF(F250="SELL",-G250,IF(AND(F250="STKREORG",N250="Applied 4-for-1 CDR split"),G250,0)))</x:f>
        <x:v>0</x:v>
      </x:c>
      <x:c r="P250" s="17" t="n">
        <x:f>SUMIF($E$6:E249,E250,$O$6:O249)</x:f>
        <x:v>6.999999999999998</x:v>
      </x:c>
      <x:c r="Q250" s="18" t="n">
        <x:f>SUMIF($E$6:E249,E250,$S$6:S249)</x:f>
        <x:v>373.11999999999995</x:v>
      </x:c>
      <x:c r="R250" s="18" t="n">
        <x:f>IF(P250&gt;0,Q250/P250,0)</x:f>
        <x:v>53.30285714285715</x:v>
      </x:c>
      <x:c r="S250" s="18" t="n">
        <x:f>IF(F250="BUY",-H250,IF(F250="SELL",-G250*R250,0))</x:f>
        <x:v>0</x:v>
      </x:c>
      <x:c r="T250" s="18" t="n">
        <x:f>IF(F250="SELL",IF(G250&gt;P250+0.000001,"REVIEW",H250-G250*R250),0)</x:f>
        <x:v>0</x:v>
      </x:c>
      <x:c r="U250" s="17" t="n">
        <x:f>P250+O250</x:f>
        <x:v>6.999999999999998</x:v>
      </x:c>
      <x:c r="V250" s="18" t="n">
        <x:f>Q250+S250</x:f>
        <x:v>373.11999999999995</x:v>
      </x:c>
      <x:c r="W250" s="18" t="n">
        <x:f>IF(F250="DIV",H250,0)</x:f>
        <x:v>1.64</x:v>
      </x:c>
      <x:c r="X250" s="18" t="n">
        <x:f>IF(F250="CONT",H250,0)</x:f>
        <x:v>0</x:v>
      </x:c>
      <x:c r="Y250" s="2" t="str">
        <x:f>TEXT(C250,"yyyy-mm")</x:f>
        <x:v>2025-09</x:v>
      </x:c>
      <x:c r="Z250" s="2" t="str">
        <x:f>IF(OR(AND(F250="STKREORG",N250&lt;&gt;"Applied 4-for-1 CDR split"),AND(F250="SELL",G250&gt;P250+0.000001)),"REVIEW","OK")</x:f>
        <x:v>OK</x:v>
      </x:c>
    </x:row>
    <x:row r="251" ht="21" customHeight="1">
      <x:c r="A251" s="2"/>
      <x:c r="B251" s="2" t="str">
        <x:v>981e6796ba8544bc69b6</x:v>
      </x:c>
      <x:c r="C251" s="16" t="d">
        <x:v>2025-09-10T00:00:00.000Z</x:v>
      </x:c>
      <x:c r="D251" s="16" t="d">
        <x:v>2025-09-09T00:00:00.000Z</x:v>
      </x:c>
      <x:c r="E251" s="2" t="str">
        <x:v>VDY_ORD</x:v>
      </x:c>
      <x:c r="F251" s="2" t="str">
        <x:v>BUY</x:v>
      </x:c>
      <x:c r="G251" s="17" t="n">
        <x:v>0.0292</x:v>
      </x:c>
      <x:c r="H251" s="18" t="n">
        <x:v>-1.64</x:v>
      </x:c>
      <x:c r="I251" s="18" t="str">
        <x:v>CAD</x:v>
      </x:c>
      <x:c r="J251" s="18" t="n">
        <x:v>1014.75</x:v>
      </x:c>
      <x:c r="K251" s="2" t="str">
        <x:v>TFSA-monthly-statement-transactions-DEMO_CAD-2025-09-01.csv</x:v>
      </x:c>
      <x:c r="L251" s="2" t="n">
        <x:v>6</x:v>
      </x:c>
      <x:c r="M251" s="2" t="str">
        <x:v>VDY - Vanguard FTSE Canadian High Dividend Yield Index ETF: Bought 0.0292 shares (executed at 2025-09-09)</x:v>
      </x:c>
      <x:c r="N251" s="2" t="str">
        <x:v>Imported</x:v>
      </x:c>
      <x:c r="O251" s="17" t="n">
        <x:f>IF(F251="BUY",G251,IF(F251="SELL",-G251,IF(AND(F251="STKREORG",N251="Applied 4-for-1 CDR split"),G251,0)))</x:f>
        <x:v>0.0292</x:v>
      </x:c>
      <x:c r="P251" s="17" t="n">
        <x:f>SUMIF($E$6:E250,E251,$O$6:O250)</x:f>
        <x:v>6.999999999999998</x:v>
      </x:c>
      <x:c r="Q251" s="18" t="n">
        <x:f>SUMIF($E$6:E250,E251,$S$6:S250)</x:f>
        <x:v>373.11999999999995</x:v>
      </x:c>
      <x:c r="R251" s="18" t="n">
        <x:f>IF(P251&gt;0,Q251/P251,0)</x:f>
        <x:v>53.30285714285715</x:v>
      </x:c>
      <x:c r="S251" s="18" t="n">
        <x:f>IF(F251="BUY",-H251,IF(F251="SELL",-G251*R251,0))</x:f>
        <x:v>1.64</x:v>
      </x:c>
      <x:c r="T251" s="18" t="n">
        <x:f>IF(F251="SELL",IF(G251&gt;P251+0.000001,"REVIEW",H251-G251*R251),0)</x:f>
        <x:v>0</x:v>
      </x:c>
      <x:c r="U251" s="17" t="n">
        <x:f>P251+O251</x:f>
        <x:v>7.029199999999999</x:v>
      </x:c>
      <x:c r="V251" s="18" t="n">
        <x:f>Q251+S251</x:f>
        <x:v>374.75999999999993</x:v>
      </x:c>
      <x:c r="W251" s="18" t="n">
        <x:f>IF(F251="DIV",H251,0)</x:f>
        <x:v>0</x:v>
      </x:c>
      <x:c r="X251" s="18" t="n">
        <x:f>IF(F251="CONT",H251,0)</x:f>
        <x:v>0</x:v>
      </x:c>
      <x:c r="Y251" s="2" t="str">
        <x:f>TEXT(C251,"yyyy-mm")</x:f>
        <x:v>2025-09</x:v>
      </x:c>
      <x:c r="Z251" s="2" t="str">
        <x:f>IF(OR(AND(F251="STKREORG",N251&lt;&gt;"Applied 4-for-1 CDR split"),AND(F251="SELL",G251&gt;P251+0.000001)),"REVIEW","OK")</x:f>
        <x:v>OK</x:v>
      </x:c>
    </x:row>
    <x:row r="252" ht="21" customHeight="1">
      <x:c r="A252" s="2"/>
      <x:c r="B252" s="2" t="str">
        <x:v>1b08f731453a29d11c99</x:v>
      </x:c>
      <x:c r="C252" s="16" t="d">
        <x:v>2025-09-29T00:00:00.000Z</x:v>
      </x:c>
      <x:c r="D252" s="16" t="d">
        <x:v>2025-09-29T00:00:00.000Z</x:v>
      </x:c>
      <x:c r="E252" s="2" t="str">
        <x:v>XEQT_ORD</x:v>
      </x:c>
      <x:c r="F252" s="2" t="str">
        <x:v>DIV</x:v>
      </x:c>
      <x:c r="G252" s="17" t="n">
        <x:v>0</x:v>
      </x:c>
      <x:c r="H252" s="18" t="n">
        <x:v>12.05</x:v>
      </x:c>
      <x:c r="I252" s="18" t="str">
        <x:v>CAD</x:v>
      </x:c>
      <x:c r="J252" s="18" t="n">
        <x:v>1026.8</x:v>
      </x:c>
      <x:c r="K252" s="2" t="str">
        <x:v>TFSA-monthly-statement-transactions-DEMO_CAD-2025-09-01.csv</x:v>
      </x:c>
      <x:c r="L252" s="2" t="n">
        <x:v>7</x:v>
      </x:c>
      <x:c r="M252" s="2" t="str">
        <x:v>XEQT - iShares Core Equity ETF Portfolio: Cash dividend distribution, received on 2025-09-29, record date of 2025-09-24</x:v>
      </x:c>
      <x:c r="N252" s="2" t="str">
        <x:v>Imported</x:v>
      </x:c>
      <x:c r="O252" s="17" t="n">
        <x:f>IF(F252="BUY",G252,IF(F252="SELL",-G252,IF(AND(F252="STKREORG",N252="Applied 4-for-1 CDR split"),G252,0)))</x:f>
        <x:v>0</x:v>
      </x:c>
      <x:c r="P252" s="17" t="n">
        <x:f>SUMIF($E$6:E251,E252,$O$6:O251)</x:f>
        <x:v>120.5171</x:v>
      </x:c>
      <x:c r="Q252" s="18" t="n">
        <x:f>SUMIF($E$6:E251,E252,$S$6:S251)</x:f>
        <x:v>4134.784644929883</x:v>
      </x:c>
      <x:c r="R252" s="18" t="n">
        <x:f>IF(P252&gt;0,Q252/P252,0)</x:f>
        <x:v>34.30869681505681</x:v>
      </x:c>
      <x:c r="S252" s="18" t="n">
        <x:f>IF(F252="BUY",-H252,IF(F252="SELL",-G252*R252,0))</x:f>
        <x:v>0</x:v>
      </x:c>
      <x:c r="T252" s="18" t="n">
        <x:f>IF(F252="SELL",IF(G252&gt;P252+0.000001,"REVIEW",H252-G252*R252),0)</x:f>
        <x:v>0</x:v>
      </x:c>
      <x:c r="U252" s="17" t="n">
        <x:f>P252+O252</x:f>
        <x:v>120.5171</x:v>
      </x:c>
      <x:c r="V252" s="18" t="n">
        <x:f>Q252+S252</x:f>
        <x:v>4134.784644929883</x:v>
      </x:c>
      <x:c r="W252" s="18" t="n">
        <x:f>IF(F252="DIV",H252,0)</x:f>
        <x:v>12.05</x:v>
      </x:c>
      <x:c r="X252" s="18" t="n">
        <x:f>IF(F252="CONT",H252,0)</x:f>
        <x:v>0</x:v>
      </x:c>
      <x:c r="Y252" s="2" t="str">
        <x:f>TEXT(C252,"yyyy-mm")</x:f>
        <x:v>2025-09</x:v>
      </x:c>
      <x:c r="Z252" s="2" t="str">
        <x:f>IF(OR(AND(F252="STKREORG",N252&lt;&gt;"Applied 4-for-1 CDR split"),AND(F252="SELL",G252&gt;P252+0.000001)),"REVIEW","OK")</x:f>
        <x:v>OK</x:v>
      </x:c>
    </x:row>
    <x:row r="253" ht="21" customHeight="1">
      <x:c r="A253" s="2"/>
      <x:c r="B253" s="2" t="str">
        <x:v>06130440a0e43b80ef84</x:v>
      </x:c>
      <x:c r="C253" s="16" t="d">
        <x:v>2025-10-01T00:00:00.000Z</x:v>
      </x:c>
      <x:c r="D253" s="16" t="d">
        <x:v>2025-09-30T00:00:00.000Z</x:v>
      </x:c>
      <x:c r="E253" s="2" t="str">
        <x:v>XEQT_ORD</x:v>
      </x:c>
      <x:c r="F253" s="2" t="str">
        <x:v>BUY</x:v>
      </x:c>
      <x:c r="G253" s="17" t="n">
        <x:v>0.3101</x:v>
      </x:c>
      <x:c r="H253" s="18" t="n">
        <x:v>-12.05</x:v>
      </x:c>
      <x:c r="I253" s="18" t="str">
        <x:v>CAD</x:v>
      </x:c>
      <x:c r="J253" s="18" t="n">
        <x:v>1014.75</x:v>
      </x:c>
      <x:c r="K253" s="2" t="str">
        <x:v>TFSA-monthly-statement-transactions-DEMO_CAD-2025-10-01.csv</x:v>
      </x:c>
      <x:c r="L253" s="2" t="n">
        <x:v>2</x:v>
      </x:c>
      <x:c r="M253" s="2" t="str">
        <x:v>XEQT - iShares Core Equity ETF Portfolio: Bought 0.3101 shares (executed at 2025-09-30)</x:v>
      </x:c>
      <x:c r="N253" s="2" t="str">
        <x:v>Imported</x:v>
      </x:c>
      <x:c r="O253" s="17" t="n">
        <x:f>IF(F253="BUY",G253,IF(F253="SELL",-G253,IF(AND(F253="STKREORG",N253="Applied 4-for-1 CDR split"),G253,0)))</x:f>
        <x:v>0.3101</x:v>
      </x:c>
      <x:c r="P253" s="17" t="n">
        <x:f>SUMIF($E$6:E252,E253,$O$6:O252)</x:f>
        <x:v>120.5171</x:v>
      </x:c>
      <x:c r="Q253" s="18" t="n">
        <x:f>SUMIF($E$6:E252,E253,$S$6:S252)</x:f>
        <x:v>4134.784644929883</x:v>
      </x:c>
      <x:c r="R253" s="18" t="n">
        <x:f>IF(P253&gt;0,Q253/P253,0)</x:f>
        <x:v>34.30869681505681</x:v>
      </x:c>
      <x:c r="S253" s="18" t="n">
        <x:f>IF(F253="BUY",-H253,IF(F253="SELL",-G253*R253,0))</x:f>
        <x:v>12.05</x:v>
      </x:c>
      <x:c r="T253" s="18" t="n">
        <x:f>IF(F253="SELL",IF(G253&gt;P253+0.000001,"REVIEW",H253-G253*R253),0)</x:f>
        <x:v>0</x:v>
      </x:c>
      <x:c r="U253" s="17" t="n">
        <x:f>P253+O253</x:f>
        <x:v>120.8272</x:v>
      </x:c>
      <x:c r="V253" s="18" t="n">
        <x:f>Q253+S253</x:f>
        <x:v>4146.834644929883</x:v>
      </x:c>
      <x:c r="W253" s="18" t="n">
        <x:f>IF(F253="DIV",H253,0)</x:f>
        <x:v>0</x:v>
      </x:c>
      <x:c r="X253" s="18" t="n">
        <x:f>IF(F253="CONT",H253,0)</x:f>
        <x:v>0</x:v>
      </x:c>
      <x:c r="Y253" s="2" t="str">
        <x:f>TEXT(C253,"yyyy-mm")</x:f>
        <x:v>2025-10</x:v>
      </x:c>
      <x:c r="Z253" s="2" t="str">
        <x:f>IF(OR(AND(F253="STKREORG",N253&lt;&gt;"Applied 4-for-1 CDR split"),AND(F253="SELL",G253&gt;P253+0.000001)),"REVIEW","OK")</x:f>
        <x:v>OK</x:v>
      </x:c>
    </x:row>
    <x:row r="254" ht="21" customHeight="1">
      <x:c r="A254" s="2"/>
      <x:c r="B254" s="2" t="str">
        <x:v>b60bfec7155f8df4ddf6</x:v>
      </x:c>
      <x:c r="C254" s="16" t="d">
        <x:v>2025-10-02T00:00:00.000Z</x:v>
      </x:c>
      <x:c r="D254" s="16" t="d">
        <x:v>2025-10-02T00:00:00.000Z</x:v>
      </x:c>
      <x:c r="E254" s="2" t="str">
        <x:v>ZMMK_ORD</x:v>
      </x:c>
      <x:c r="F254" s="2" t="str">
        <x:v>DIV</x:v>
      </x:c>
      <x:c r="G254" s="17" t="n">
        <x:v>0</x:v>
      </x:c>
      <x:c r="H254" s="18" t="n">
        <x:v>8.79</x:v>
      </x:c>
      <x:c r="I254" s="18" t="str">
        <x:v>CAD</x:v>
      </x:c>
      <x:c r="J254" s="18" t="n">
        <x:v>1023.54</x:v>
      </x:c>
      <x:c r="K254" s="2" t="str">
        <x:v>TFSA-monthly-statement-transactions-DEMO_CAD-2025-10-01.csv</x:v>
      </x:c>
      <x:c r="L254" s="2" t="n">
        <x:v>3</x:v>
      </x:c>
      <x:c r="M254" s="2" t="str">
        <x:v>ZMMK - BMO Money Market Fund ETF: Cash dividend distribution, received on 2025-10-02, record date of 2025-09-29</x:v>
      </x:c>
      <x:c r="N254" s="2" t="str">
        <x:v>Imported</x:v>
      </x:c>
      <x:c r="O254" s="17" t="n">
        <x:f>IF(F254="BUY",G254,IF(F254="SELL",-G254,IF(AND(F254="STKREORG",N254="Applied 4-for-1 CDR split"),G254,0)))</x:f>
        <x:v>0</x:v>
      </x:c>
      <x:c r="P254" s="17" t="n">
        <x:f>SUMIF($E$6:E253,E254,$O$6:O253)</x:f>
        <x:v>76.4461</x:v>
      </x:c>
      <x:c r="Q254" s="18" t="n">
        <x:f>SUMIF($E$6:E253,E254,$S$6:S253)</x:f>
        <x:v>3816.6298770807593</x:v>
      </x:c>
      <x:c r="R254" s="18" t="n">
        <x:f>IF(P254&gt;0,Q254/P254,0)</x:f>
        <x:v>49.92576308118739</x:v>
      </x:c>
      <x:c r="S254" s="18" t="n">
        <x:f>IF(F254="BUY",-H254,IF(F254="SELL",-G254*R254,0))</x:f>
        <x:v>0</x:v>
      </x:c>
      <x:c r="T254" s="18" t="n">
        <x:f>IF(F254="SELL",IF(G254&gt;P254+0.000001,"REVIEW",H254-G254*R254),0)</x:f>
        <x:v>0</x:v>
      </x:c>
      <x:c r="U254" s="17" t="n">
        <x:f>P254+O254</x:f>
        <x:v>76.4461</x:v>
      </x:c>
      <x:c r="V254" s="18" t="n">
        <x:f>Q254+S254</x:f>
        <x:v>3816.6298770807593</x:v>
      </x:c>
      <x:c r="W254" s="18" t="n">
        <x:f>IF(F254="DIV",H254,0)</x:f>
        <x:v>8.79</x:v>
      </x:c>
      <x:c r="X254" s="18" t="n">
        <x:f>IF(F254="CONT",H254,0)</x:f>
        <x:v>0</x:v>
      </x:c>
      <x:c r="Y254" s="2" t="str">
        <x:f>TEXT(C254,"yyyy-mm")</x:f>
        <x:v>2025-10</x:v>
      </x:c>
      <x:c r="Z254" s="2" t="str">
        <x:f>IF(OR(AND(F254="STKREORG",N254&lt;&gt;"Applied 4-for-1 CDR split"),AND(F254="SELL",G254&gt;P254+0.000001)),"REVIEW","OK")</x:f>
        <x:v>OK</x:v>
      </x:c>
    </x:row>
    <x:row r="255" ht="21" customHeight="1">
      <x:c r="A255" s="2"/>
      <x:c r="B255" s="2" t="str">
        <x:v>d44515ecb5867fa50c16</x:v>
      </x:c>
      <x:c r="C255" s="16" t="d">
        <x:v>2025-10-06T00:00:00.000Z</x:v>
      </x:c>
      <x:c r="D255" s="16" t="d">
        <x:v>2025-10-03T00:00:00.000Z</x:v>
      </x:c>
      <x:c r="E255" s="2" t="str">
        <x:v>ZMMK_ORD</x:v>
      </x:c>
      <x:c r="F255" s="2" t="str">
        <x:v>BUY</x:v>
      </x:c>
      <x:c r="G255" s="17" t="n">
        <x:v>0.1762</x:v>
      </x:c>
      <x:c r="H255" s="18" t="n">
        <x:v>-8.79</x:v>
      </x:c>
      <x:c r="I255" s="18" t="str">
        <x:v>CAD</x:v>
      </x:c>
      <x:c r="J255" s="18" t="n">
        <x:v>1014.75</x:v>
      </x:c>
      <x:c r="K255" s="2" t="str">
        <x:v>TFSA-monthly-statement-transactions-DEMO_CAD-2025-10-01.csv</x:v>
      </x:c>
      <x:c r="L255" s="2" t="n">
        <x:v>4</x:v>
      </x:c>
      <x:c r="M255" s="2" t="str">
        <x:v>ZMMK - BMO Money Market Fund ETF: Bought 0.1762 shares (executed at 2025-10-03)</x:v>
      </x:c>
      <x:c r="N255" s="2" t="str">
        <x:v>Imported</x:v>
      </x:c>
      <x:c r="O255" s="17" t="n">
        <x:f>IF(F255="BUY",G255,IF(F255="SELL",-G255,IF(AND(F255="STKREORG",N255="Applied 4-for-1 CDR split"),G255,0)))</x:f>
        <x:v>0.1762</x:v>
      </x:c>
      <x:c r="P255" s="17" t="n">
        <x:f>SUMIF($E$6:E254,E255,$O$6:O254)</x:f>
        <x:v>76.4461</x:v>
      </x:c>
      <x:c r="Q255" s="18" t="n">
        <x:f>SUMIF($E$6:E254,E255,$S$6:S254)</x:f>
        <x:v>3816.6298770807593</x:v>
      </x:c>
      <x:c r="R255" s="18" t="n">
        <x:f>IF(P255&gt;0,Q255/P255,0)</x:f>
        <x:v>49.92576308118739</x:v>
      </x:c>
      <x:c r="S255" s="18" t="n">
        <x:f>IF(F255="BUY",-H255,IF(F255="SELL",-G255*R255,0))</x:f>
        <x:v>8.79</x:v>
      </x:c>
      <x:c r="T255" s="18" t="n">
        <x:f>IF(F255="SELL",IF(G255&gt;P255+0.000001,"REVIEW",H255-G255*R255),0)</x:f>
        <x:v>0</x:v>
      </x:c>
      <x:c r="U255" s="17" t="n">
        <x:f>P255+O255</x:f>
        <x:v>76.6223</x:v>
      </x:c>
      <x:c r="V255" s="18" t="n">
        <x:f>Q255+S255</x:f>
        <x:v>3825.4198770807593</x:v>
      </x:c>
      <x:c r="W255" s="18" t="n">
        <x:f>IF(F255="DIV",H255,0)</x:f>
        <x:v>0</x:v>
      </x:c>
      <x:c r="X255" s="18" t="n">
        <x:f>IF(F255="CONT",H255,0)</x:f>
        <x:v>0</x:v>
      </x:c>
      <x:c r="Y255" s="2" t="str">
        <x:f>TEXT(C255,"yyyy-mm")</x:f>
        <x:v>2025-10</x:v>
      </x:c>
      <x:c r="Z255" s="2" t="str">
        <x:f>IF(OR(AND(F255="STKREORG",N255&lt;&gt;"Applied 4-for-1 CDR split"),AND(F255="SELL",G255&gt;P255+0.000001)),"REVIEW","OK")</x:f>
        <x:v>OK</x:v>
      </x:c>
    </x:row>
    <x:row r="256" ht="21" customHeight="1">
      <x:c r="A256" s="2"/>
      <x:c r="B256" s="2" t="str">
        <x:v>8e1f83a322de90cd5f39</x:v>
      </x:c>
      <x:c r="C256" s="16" t="d">
        <x:v>2025-10-06T00:00:00.000Z</x:v>
      </x:c>
      <x:c r="D256" s="16" t="d">
        <x:v>2025-10-06T00:00:00.000Z</x:v>
      </x:c>
      <x:c r="E256" s="2" t="str">
        <x:v>TEC_ORD</x:v>
      </x:c>
      <x:c r="F256" s="2" t="str">
        <x:v>DIV</x:v>
      </x:c>
      <x:c r="G256" s="17" t="n">
        <x:v>0</x:v>
      </x:c>
      <x:c r="H256" s="18" t="n">
        <x:v>0.2</x:v>
      </x:c>
      <x:c r="I256" s="18" t="str">
        <x:v>CAD</x:v>
      </x:c>
      <x:c r="J256" s="18" t="n">
        <x:v>1014.95</x:v>
      </x:c>
      <x:c r="K256" s="2" t="str">
        <x:v>TFSA-monthly-statement-transactions-DEMO_CAD-2025-10-01.csv</x:v>
      </x:c>
      <x:c r="L256" s="2" t="n">
        <x:v>5</x:v>
      </x:c>
      <x:c r="M256" s="2" t="str">
        <x:v>TEC - TD Global Tech Leaders Index ETF: Cash dividend distribution, received on 2025-10-06, record date of 2025-09-29</x:v>
      </x:c>
      <x:c r="N256" s="2" t="str">
        <x:v>Imported</x:v>
      </x:c>
      <x:c r="O256" s="17" t="n">
        <x:f>IF(F256="BUY",G256,IF(F256="SELL",-G256,IF(AND(F256="STKREORG",N256="Applied 4-for-1 CDR split"),G256,0)))</x:f>
        <x:v>0</x:v>
      </x:c>
      <x:c r="P256" s="17" t="n">
        <x:f>SUMIF($E$6:E255,E256,$O$6:O255)</x:f>
        <x:v>20.0042</x:v>
      </x:c>
      <x:c r="Q256" s="18" t="n">
        <x:f>SUMIF($E$6:E255,E256,$S$6:S255)</x:f>
        <x:v>893</x:v>
      </x:c>
      <x:c r="R256" s="18" t="n">
        <x:f>IF(P256&gt;0,Q256/P256,0)</x:f>
        <x:v>44.64062546865158</x:v>
      </x:c>
      <x:c r="S256" s="18" t="n">
        <x:f>IF(F256="BUY",-H256,IF(F256="SELL",-G256*R256,0))</x:f>
        <x:v>0</x:v>
      </x:c>
      <x:c r="T256" s="18" t="n">
        <x:f>IF(F256="SELL",IF(G256&gt;P256+0.000001,"REVIEW",H256-G256*R256),0)</x:f>
        <x:v>0</x:v>
      </x:c>
      <x:c r="U256" s="17" t="n">
        <x:f>P256+O256</x:f>
        <x:v>20.0042</x:v>
      </x:c>
      <x:c r="V256" s="18" t="n">
        <x:f>Q256+S256</x:f>
        <x:v>893</x:v>
      </x:c>
      <x:c r="W256" s="18" t="n">
        <x:f>IF(F256="DIV",H256,0)</x:f>
        <x:v>0.2</x:v>
      </x:c>
      <x:c r="X256" s="18" t="n">
        <x:f>IF(F256="CONT",H256,0)</x:f>
        <x:v>0</x:v>
      </x:c>
      <x:c r="Y256" s="2" t="str">
        <x:f>TEXT(C256,"yyyy-mm")</x:f>
        <x:v>2025-10</x:v>
      </x:c>
      <x:c r="Z256" s="2" t="str">
        <x:f>IF(OR(AND(F256="STKREORG",N256&lt;&gt;"Applied 4-for-1 CDR split"),AND(F256="SELL",G256&gt;P256+0.000001)),"REVIEW","OK")</x:f>
        <x:v>OK</x:v>
      </x:c>
    </x:row>
    <x:row r="257" ht="21" customHeight="1">
      <x:c r="A257" s="2"/>
      <x:c r="B257" s="2" t="str">
        <x:v>8cbce2482bea279b9290</x:v>
      </x:c>
      <x:c r="C257" s="16" t="d">
        <x:v>2025-10-07T00:00:00.000Z</x:v>
      </x:c>
      <x:c r="D257" s="16" t="d">
        <x:v>2025-10-06T00:00:00.000Z</x:v>
      </x:c>
      <x:c r="E257" s="2" t="str">
        <x:v>TEC_ORD</x:v>
      </x:c>
      <x:c r="F257" s="2" t="str">
        <x:v>BUY</x:v>
      </x:c>
      <x:c r="G257" s="17" t="n">
        <x:v>0.0037</x:v>
      </x:c>
      <x:c r="H257" s="18" t="n">
        <x:v>-0.2</x:v>
      </x:c>
      <x:c r="I257" s="18" t="str">
        <x:v>CAD</x:v>
      </x:c>
      <x:c r="J257" s="18" t="n">
        <x:v>1014.75</x:v>
      </x:c>
      <x:c r="K257" s="2" t="str">
        <x:v>TFSA-monthly-statement-transactions-DEMO_CAD-2025-10-01.csv</x:v>
      </x:c>
      <x:c r="L257" s="2" t="n">
        <x:v>6</x:v>
      </x:c>
      <x:c r="M257" s="2" t="str">
        <x:v>TEC - TD Global Tech Leaders Index ETF: Bought 0.0037 shares (executed at 2025-10-06)</x:v>
      </x:c>
      <x:c r="N257" s="2" t="str">
        <x:v>Imported</x:v>
      </x:c>
      <x:c r="O257" s="17" t="n">
        <x:f>IF(F257="BUY",G257,IF(F257="SELL",-G257,IF(AND(F257="STKREORG",N257="Applied 4-for-1 CDR split"),G257,0)))</x:f>
        <x:v>0.0037</x:v>
      </x:c>
      <x:c r="P257" s="17" t="n">
        <x:f>SUMIF($E$6:E256,E257,$O$6:O256)</x:f>
        <x:v>20.0042</x:v>
      </x:c>
      <x:c r="Q257" s="18" t="n">
        <x:f>SUMIF($E$6:E256,E257,$S$6:S256)</x:f>
        <x:v>893</x:v>
      </x:c>
      <x:c r="R257" s="18" t="n">
        <x:f>IF(P257&gt;0,Q257/P257,0)</x:f>
        <x:v>44.64062546865158</x:v>
      </x:c>
      <x:c r="S257" s="18" t="n">
        <x:f>IF(F257="BUY",-H257,IF(F257="SELL",-G257*R257,0))</x:f>
        <x:v>0.2</x:v>
      </x:c>
      <x:c r="T257" s="18" t="n">
        <x:f>IF(F257="SELL",IF(G257&gt;P257+0.000001,"REVIEW",H257-G257*R257),0)</x:f>
        <x:v>0</x:v>
      </x:c>
      <x:c r="U257" s="17" t="n">
        <x:f>P257+O257</x:f>
        <x:v>20.0079</x:v>
      </x:c>
      <x:c r="V257" s="18" t="n">
        <x:f>Q257+S257</x:f>
        <x:v>893.2</x:v>
      </x:c>
      <x:c r="W257" s="18" t="n">
        <x:f>IF(F257="DIV",H257,0)</x:f>
        <x:v>0</x:v>
      </x:c>
      <x:c r="X257" s="18" t="n">
        <x:f>IF(F257="CONT",H257,0)</x:f>
        <x:v>0</x:v>
      </x:c>
      <x:c r="Y257" s="2" t="str">
        <x:f>TEXT(C257,"yyyy-mm")</x:f>
        <x:v>2025-10</x:v>
      </x:c>
      <x:c r="Z257" s="2" t="str">
        <x:f>IF(OR(AND(F257="STKREORG",N257&lt;&gt;"Applied 4-for-1 CDR split"),AND(F257="SELL",G257&gt;P257+0.000001)),"REVIEW","OK")</x:f>
        <x:v>OK</x:v>
      </x:c>
    </x:row>
    <x:row r="258" ht="21" customHeight="1">
      <x:c r="A258" s="2"/>
      <x:c r="B258" s="2" t="str">
        <x:v>4514f13a327bff492d7c</x:v>
      </x:c>
      <x:c r="C258" s="16" t="d">
        <x:v>2025-10-07T00:00:00.000Z</x:v>
      </x:c>
      <x:c r="D258" s="16" t="d">
        <x:v>2025-10-07T00:00:00.000Z</x:v>
      </x:c>
      <x:c r="E258" s="2" t="str">
        <x:v>VFV_ORD</x:v>
      </x:c>
      <x:c r="F258" s="2" t="str">
        <x:v>DIV</x:v>
      </x:c>
      <x:c r="G258" s="17" t="n">
        <x:v>0</x:v>
      </x:c>
      <x:c r="H258" s="18" t="n">
        <x:v>18.79</x:v>
      </x:c>
      <x:c r="I258" s="18" t="str">
        <x:v>CAD</x:v>
      </x:c>
      <x:c r="J258" s="18" t="n">
        <x:v>1033.54</x:v>
      </x:c>
      <x:c r="K258" s="2" t="str">
        <x:v>TFSA-monthly-statement-transactions-DEMO_CAD-2025-10-01.csv</x:v>
      </x:c>
      <x:c r="L258" s="2" t="n">
        <x:v>7</x:v>
      </x:c>
      <x:c r="M258" s="2" t="str">
        <x:v>VFV - Vanguard S&amp;P 500 Index ETF: Cash dividend distribution, received on 2025-10-07, record date of 2025-09-29</x:v>
      </x:c>
      <x:c r="N258" s="2" t="str">
        <x:v>Imported</x:v>
      </x:c>
      <x:c r="O258" s="17" t="n">
        <x:f>IF(F258="BUY",G258,IF(F258="SELL",-G258,IF(AND(F258="STKREORG",N258="Applied 4-for-1 CDR split"),G258,0)))</x:f>
        <x:v>0</x:v>
      </x:c>
      <x:c r="P258" s="17" t="n">
        <x:f>SUMIF($E$6:E257,E258,$O$6:O257)</x:f>
        <x:v>51.1454</x:v>
      </x:c>
      <x:c r="Q258" s="18" t="n">
        <x:f>SUMIF($E$6:E257,E258,$S$6:S257)</x:f>
        <x:v>7602.559991735696</x:v>
      </x:c>
      <x:c r="R258" s="18" t="n">
        <x:f>IF(P258&gt;0,Q258/P258,0)</x:f>
        <x:v>148.64601688002628</x:v>
      </x:c>
      <x:c r="S258" s="18" t="n">
        <x:f>IF(F258="BUY",-H258,IF(F258="SELL",-G258*R258,0))</x:f>
        <x:v>0</x:v>
      </x:c>
      <x:c r="T258" s="18" t="n">
        <x:f>IF(F258="SELL",IF(G258&gt;P258+0.000001,"REVIEW",H258-G258*R258),0)</x:f>
        <x:v>0</x:v>
      </x:c>
      <x:c r="U258" s="17" t="n">
        <x:f>P258+O258</x:f>
        <x:v>51.1454</x:v>
      </x:c>
      <x:c r="V258" s="18" t="n">
        <x:f>Q258+S258</x:f>
        <x:v>7602.559991735696</x:v>
      </x:c>
      <x:c r="W258" s="18" t="n">
        <x:f>IF(F258="DIV",H258,0)</x:f>
        <x:v>18.79</x:v>
      </x:c>
      <x:c r="X258" s="18" t="n">
        <x:f>IF(F258="CONT",H258,0)</x:f>
        <x:v>0</x:v>
      </x:c>
      <x:c r="Y258" s="2" t="str">
        <x:f>TEXT(C258,"yyyy-mm")</x:f>
        <x:v>2025-10</x:v>
      </x:c>
      <x:c r="Z258" s="2" t="str">
        <x:f>IF(OR(AND(F258="STKREORG",N258&lt;&gt;"Applied 4-for-1 CDR split"),AND(F258="SELL",G258&gt;P258+0.000001)),"REVIEW","OK")</x:f>
        <x:v>OK</x:v>
      </x:c>
    </x:row>
    <x:row r="259" ht="21" customHeight="1">
      <x:c r="A259" s="2"/>
      <x:c r="B259" s="2" t="str">
        <x:v>4ea90e6138bbac4c319c</x:v>
      </x:c>
      <x:c r="C259" s="16" t="d">
        <x:v>2025-10-08T00:00:00.000Z</x:v>
      </x:c>
      <x:c r="D259" s="16" t="d">
        <x:v>2025-10-08T00:00:00.000Z</x:v>
      </x:c>
      <x:c r="E259" s="2" t="str">
        <x:v>VDY_ORD</x:v>
      </x:c>
      <x:c r="F259" s="2" t="str">
        <x:v>DIV</x:v>
      </x:c>
      <x:c r="G259" s="17" t="n">
        <x:v>0</x:v>
      </x:c>
      <x:c r="H259" s="18" t="n">
        <x:v>1.01</x:v>
      </x:c>
      <x:c r="I259" s="18" t="str">
        <x:v>CAD</x:v>
      </x:c>
      <x:c r="J259" s="18" t="n">
        <x:v>1034.55</x:v>
      </x:c>
      <x:c r="K259" s="2" t="str">
        <x:v>TFSA-monthly-statement-transactions-DEMO_CAD-2025-10-01.csv</x:v>
      </x:c>
      <x:c r="L259" s="2" t="n">
        <x:v>8</x:v>
      </x:c>
      <x:c r="M259" s="2" t="str">
        <x:v>VDY - Vanguard FTSE Canadian High Dividend Yield Index ETF: Cash dividend distribution, received on 2025-10-08, record date of 2025-10-01</x:v>
      </x:c>
      <x:c r="N259" s="2" t="str">
        <x:v>Imported</x:v>
      </x:c>
      <x:c r="O259" s="17" t="n">
        <x:f>IF(F259="BUY",G259,IF(F259="SELL",-G259,IF(AND(F259="STKREORG",N259="Applied 4-for-1 CDR split"),G259,0)))</x:f>
        <x:v>0</x:v>
      </x:c>
      <x:c r="P259" s="17" t="n">
        <x:f>SUMIF($E$6:E258,E259,$O$6:O258)</x:f>
        <x:v>7.029199999999999</x:v>
      </x:c>
      <x:c r="Q259" s="18" t="n">
        <x:f>SUMIF($E$6:E258,E259,$S$6:S258)</x:f>
        <x:v>374.75999999999993</x:v>
      </x:c>
      <x:c r="R259" s="18" t="n">
        <x:f>IF(P259&gt;0,Q259/P259,0)</x:f>
        <x:v>53.31474420986741</x:v>
      </x:c>
      <x:c r="S259" s="18" t="n">
        <x:f>IF(F259="BUY",-H259,IF(F259="SELL",-G259*R259,0))</x:f>
        <x:v>0</x:v>
      </x:c>
      <x:c r="T259" s="18" t="n">
        <x:f>IF(F259="SELL",IF(G259&gt;P259+0.000001,"REVIEW",H259-G259*R259),0)</x:f>
        <x:v>0</x:v>
      </x:c>
      <x:c r="U259" s="17" t="n">
        <x:f>P259+O259</x:f>
        <x:v>7.029199999999999</x:v>
      </x:c>
      <x:c r="V259" s="18" t="n">
        <x:f>Q259+S259</x:f>
        <x:v>374.75999999999993</x:v>
      </x:c>
      <x:c r="W259" s="18" t="n">
        <x:f>IF(F259="DIV",H259,0)</x:f>
        <x:v>1.01</x:v>
      </x:c>
      <x:c r="X259" s="18" t="n">
        <x:f>IF(F259="CONT",H259,0)</x:f>
        <x:v>0</x:v>
      </x:c>
      <x:c r="Y259" s="2" t="str">
        <x:f>TEXT(C259,"yyyy-mm")</x:f>
        <x:v>2025-10</x:v>
      </x:c>
      <x:c r="Z259" s="2" t="str">
        <x:f>IF(OR(AND(F259="STKREORG",N259&lt;&gt;"Applied 4-for-1 CDR split"),AND(F259="SELL",G259&gt;P259+0.000001)),"REVIEW","OK")</x:f>
        <x:v>OK</x:v>
      </x:c>
    </x:row>
    <x:row r="260" ht="21" customHeight="1">
      <x:c r="A260" s="2"/>
      <x:c r="B260" s="2" t="str">
        <x:v>d0f85683ad9d43b475b9</x:v>
      </x:c>
      <x:c r="C260" s="16" t="d">
        <x:v>2025-10-09T00:00:00.000Z</x:v>
      </x:c>
      <x:c r="D260" s="16" t="d">
        <x:v>2025-10-08T00:00:00.000Z</x:v>
      </x:c>
      <x:c r="E260" s="2" t="str">
        <x:v>VFV_ORD</x:v>
      </x:c>
      <x:c r="F260" s="2" t="str">
        <x:v>BUY</x:v>
      </x:c>
      <x:c r="G260" s="17" t="n">
        <x:v>0.1124</x:v>
      </x:c>
      <x:c r="H260" s="18" t="n">
        <x:v>-18.79</x:v>
      </x:c>
      <x:c r="I260" s="18" t="str">
        <x:v>CAD</x:v>
      </x:c>
      <x:c r="J260" s="18" t="n">
        <x:v>1015.76</x:v>
      </x:c>
      <x:c r="K260" s="2" t="str">
        <x:v>TFSA-monthly-statement-transactions-DEMO_CAD-2025-10-01.csv</x:v>
      </x:c>
      <x:c r="L260" s="2" t="n">
        <x:v>9</x:v>
      </x:c>
      <x:c r="M260" s="2" t="str">
        <x:v>VFV - Vanguard S&amp;P 500 Index ETF: Bought 0.1124 shares (executed at 2025-10-08)</x:v>
      </x:c>
      <x:c r="N260" s="2" t="str">
        <x:v>Imported</x:v>
      </x:c>
      <x:c r="O260" s="17" t="n">
        <x:f>IF(F260="BUY",G260,IF(F260="SELL",-G260,IF(AND(F260="STKREORG",N260="Applied 4-for-1 CDR split"),G260,0)))</x:f>
        <x:v>0.1124</x:v>
      </x:c>
      <x:c r="P260" s="17" t="n">
        <x:f>SUMIF($E$6:E259,E260,$O$6:O259)</x:f>
        <x:v>51.1454</x:v>
      </x:c>
      <x:c r="Q260" s="18" t="n">
        <x:f>SUMIF($E$6:E259,E260,$S$6:S259)</x:f>
        <x:v>7602.559991735696</x:v>
      </x:c>
      <x:c r="R260" s="18" t="n">
        <x:f>IF(P260&gt;0,Q260/P260,0)</x:f>
        <x:v>148.64601688002628</x:v>
      </x:c>
      <x:c r="S260" s="18" t="n">
        <x:f>IF(F260="BUY",-H260,IF(F260="SELL",-G260*R260,0))</x:f>
        <x:v>18.79</x:v>
      </x:c>
      <x:c r="T260" s="18" t="n">
        <x:f>IF(F260="SELL",IF(G260&gt;P260+0.000001,"REVIEW",H260-G260*R260),0)</x:f>
        <x:v>0</x:v>
      </x:c>
      <x:c r="U260" s="17" t="n">
        <x:f>P260+O260</x:f>
        <x:v>51.2578</x:v>
      </x:c>
      <x:c r="V260" s="18" t="n">
        <x:f>Q260+S260</x:f>
        <x:v>7621.349991735696</x:v>
      </x:c>
      <x:c r="W260" s="18" t="n">
        <x:f>IF(F260="DIV",H260,0)</x:f>
        <x:v>0</x:v>
      </x:c>
      <x:c r="X260" s="18" t="n">
        <x:f>IF(F260="CONT",H260,0)</x:f>
        <x:v>0</x:v>
      </x:c>
      <x:c r="Y260" s="2" t="str">
        <x:f>TEXT(C260,"yyyy-mm")</x:f>
        <x:v>2025-10</x:v>
      </x:c>
      <x:c r="Z260" s="2" t="str">
        <x:f>IF(OR(AND(F260="STKREORG",N260&lt;&gt;"Applied 4-for-1 CDR split"),AND(F260="SELL",G260&gt;P260+0.000001)),"REVIEW","OK")</x:f>
        <x:v>OK</x:v>
      </x:c>
    </x:row>
    <x:row r="261" ht="21" customHeight="1">
      <x:c r="A261" s="2"/>
      <x:c r="B261" s="2" t="str">
        <x:v>2477919f06b4ab6cce24</x:v>
      </x:c>
      <x:c r="C261" s="16" t="d">
        <x:v>2025-10-09T00:00:00.000Z</x:v>
      </x:c>
      <x:c r="D261" s="16" t="d">
        <x:v>2025-10-08T00:00:00.000Z</x:v>
      </x:c>
      <x:c r="E261" s="2" t="str">
        <x:v>VDY_ORD</x:v>
      </x:c>
      <x:c r="F261" s="2" t="str">
        <x:v>BUY</x:v>
      </x:c>
      <x:c r="G261" s="17" t="n">
        <x:v>0.0174</x:v>
      </x:c>
      <x:c r="H261" s="18" t="n">
        <x:v>-1.01</x:v>
      </x:c>
      <x:c r="I261" s="18" t="str">
        <x:v>CAD</x:v>
      </x:c>
      <x:c r="J261" s="18" t="n">
        <x:v>1014.75</x:v>
      </x:c>
      <x:c r="K261" s="2" t="str">
        <x:v>TFSA-monthly-statement-transactions-DEMO_CAD-2025-10-01.csv</x:v>
      </x:c>
      <x:c r="L261" s="2" t="n">
        <x:v>10</x:v>
      </x:c>
      <x:c r="M261" s="2" t="str">
        <x:v>VDY - Vanguard FTSE Canadian High Dividend Yield Index ETF: Bought 0.0174 shares (executed at 2025-10-08)</x:v>
      </x:c>
      <x:c r="N261" s="2" t="str">
        <x:v>Imported</x:v>
      </x:c>
      <x:c r="O261" s="17" t="n">
        <x:f>IF(F261="BUY",G261,IF(F261="SELL",-G261,IF(AND(F261="STKREORG",N261="Applied 4-for-1 CDR split"),G261,0)))</x:f>
        <x:v>0.0174</x:v>
      </x:c>
      <x:c r="P261" s="17" t="n">
        <x:f>SUMIF($E$6:E260,E261,$O$6:O260)</x:f>
        <x:v>7.029199999999999</x:v>
      </x:c>
      <x:c r="Q261" s="18" t="n">
        <x:f>SUMIF($E$6:E260,E261,$S$6:S260)</x:f>
        <x:v>374.75999999999993</x:v>
      </x:c>
      <x:c r="R261" s="18" t="n">
        <x:f>IF(P261&gt;0,Q261/P261,0)</x:f>
        <x:v>53.31474420986741</x:v>
      </x:c>
      <x:c r="S261" s="18" t="n">
        <x:f>IF(F261="BUY",-H261,IF(F261="SELL",-G261*R261,0))</x:f>
        <x:v>1.01</x:v>
      </x:c>
      <x:c r="T261" s="18" t="n">
        <x:f>IF(F261="SELL",IF(G261&gt;P261+0.000001,"REVIEW",H261-G261*R261),0)</x:f>
        <x:v>0</x:v>
      </x:c>
      <x:c r="U261" s="17" t="n">
        <x:f>P261+O261</x:f>
        <x:v>7.046599999999999</x:v>
      </x:c>
      <x:c r="V261" s="18" t="n">
        <x:f>Q261+S261</x:f>
        <x:v>375.7699999999999</x:v>
      </x:c>
      <x:c r="W261" s="18" t="n">
        <x:f>IF(F261="DIV",H261,0)</x:f>
        <x:v>0</x:v>
      </x:c>
      <x:c r="X261" s="18" t="n">
        <x:f>IF(F261="CONT",H261,0)</x:f>
        <x:v>0</x:v>
      </x:c>
      <x:c r="Y261" s="2" t="str">
        <x:f>TEXT(C261,"yyyy-mm")</x:f>
        <x:v>2025-10</x:v>
      </x:c>
      <x:c r="Z261" s="2" t="str">
        <x:f>IF(OR(AND(F261="STKREORG",N261&lt;&gt;"Applied 4-for-1 CDR split"),AND(F261="SELL",G261&gt;P261+0.000001)),"REVIEW","OK")</x:f>
        <x:v>OK</x:v>
      </x:c>
    </x:row>
    <x:row r="262" ht="21" customHeight="1">
      <x:c r="A262" s="2"/>
      <x:c r="B262" s="2" t="str">
        <x:v>8c7fae864418fb5c0a62</x:v>
      </x:c>
      <x:c r="C262" s="16" t="d">
        <x:v>2025-10-09T00:00:00.000Z</x:v>
      </x:c>
      <x:c r="D262" s="16" t="d">
        <x:v>2025-10-09T00:00:00.000Z</x:v>
      </x:c>
      <x:c r="E262" s="2" t="str">
        <x:v>NVDA_CDR</x:v>
      </x:c>
      <x:c r="F262" s="2" t="str">
        <x:v>DIV</x:v>
      </x:c>
      <x:c r="G262" s="17" t="n">
        <x:v>0</x:v>
      </x:c>
      <x:c r="H262" s="18" t="n">
        <x:v>0.02</x:v>
      </x:c>
      <x:c r="I262" s="18" t="str">
        <x:v>CAD</x:v>
      </x:c>
      <x:c r="J262" s="18" t="n">
        <x:v>1014.77</x:v>
      </x:c>
      <x:c r="K262" s="2" t="str">
        <x:v>TFSA-monthly-statement-transactions-DEMO_CAD-2025-10-01.csv</x:v>
      </x:c>
      <x:c r="L262" s="2" t="n">
        <x:v>11</x:v>
      </x:c>
      <x:c r="M262" s="2" t="str">
        <x:v>NVDA - Nvidia CDR (CAD Hedged): Cash dividend distribution, received on 2025-10-09, record date of 2025-09-11</x:v>
      </x:c>
      <x:c r="N262" s="2" t="str">
        <x:v>Imported</x:v>
      </x:c>
      <x:c r="O262" s="17" t="n">
        <x:f>IF(F262="BUY",G262,IF(F262="SELL",-G262,IF(AND(F262="STKREORG",N262="Applied 4-for-1 CDR split"),G262,0)))</x:f>
        <x:v>0</x:v>
      </x:c>
      <x:c r="P262" s="17" t="n">
        <x:f>SUMIF($E$6:E261,E262,$O$6:O261)</x:f>
        <x:v>10.0013</x:v>
      </x:c>
      <x:c r="Q262" s="18" t="n">
        <x:f>SUMIF($E$6:E261,E262,$S$6:S261)</x:f>
        <x:v>290.0899999999999</x:v>
      </x:c>
      <x:c r="R262" s="18" t="n">
        <x:f>IF(P262&gt;0,Q262/P262,0)</x:f>
        <x:v>29.005229320188366</x:v>
      </x:c>
      <x:c r="S262" s="18" t="n">
        <x:f>IF(F262="BUY",-H262,IF(F262="SELL",-G262*R262,0))</x:f>
        <x:v>0</x:v>
      </x:c>
      <x:c r="T262" s="18" t="n">
        <x:f>IF(F262="SELL",IF(G262&gt;P262+0.000001,"REVIEW",H262-G262*R262),0)</x:f>
        <x:v>0</x:v>
      </x:c>
      <x:c r="U262" s="17" t="n">
        <x:f>P262+O262</x:f>
        <x:v>10.0013</x:v>
      </x:c>
      <x:c r="V262" s="18" t="n">
        <x:f>Q262+S262</x:f>
        <x:v>290.0899999999999</x:v>
      </x:c>
      <x:c r="W262" s="18" t="n">
        <x:f>IF(F262="DIV",H262,0)</x:f>
        <x:v>0.02</x:v>
      </x:c>
      <x:c r="X262" s="18" t="n">
        <x:f>IF(F262="CONT",H262,0)</x:f>
        <x:v>0</x:v>
      </x:c>
      <x:c r="Y262" s="2" t="str">
        <x:f>TEXT(C262,"yyyy-mm")</x:f>
        <x:v>2025-10</x:v>
      </x:c>
      <x:c r="Z262" s="2" t="str">
        <x:f>IF(OR(AND(F262="STKREORG",N262&lt;&gt;"Applied 4-for-1 CDR split"),AND(F262="SELL",G262&gt;P262+0.000001)),"REVIEW","OK")</x:f>
        <x:v>OK</x:v>
      </x:c>
    </x:row>
    <x:row r="263" ht="21" customHeight="1">
      <x:c r="A263" s="2"/>
      <x:c r="B263" s="2" t="str">
        <x:v>79793f989c153458f3ef</x:v>
      </x:c>
      <x:c r="C263" s="16" t="d">
        <x:v>2025-10-10T00:00:00.000Z</x:v>
      </x:c>
      <x:c r="D263" s="16" t="d">
        <x:v>2025-10-09T00:00:00.000Z</x:v>
      </x:c>
      <x:c r="E263" s="2" t="str">
        <x:v>AAPL_CDR</x:v>
      </x:c>
      <x:c r="F263" s="2" t="str">
        <x:v>BUY</x:v>
      </x:c>
      <x:c r="G263" s="17" t="n">
        <x:v>1</x:v>
      </x:c>
      <x:c r="H263" s="18" t="n">
        <x:v>-36.54</x:v>
      </x:c>
      <x:c r="I263" s="18" t="str">
        <x:v>CAD</x:v>
      </x:c>
      <x:c r="J263" s="18" t="n">
        <x:v>978.23</x:v>
      </x:c>
      <x:c r="K263" s="2" t="str">
        <x:v>TFSA-monthly-statement-transactions-DEMO_CAD-2025-10-01.csv</x:v>
      </x:c>
      <x:c r="L263" s="2" t="n">
        <x:v>12</x:v>
      </x:c>
      <x:c r="M263" s="2" t="str">
        <x:v>AAPL - Apple CDR (CAD Hedged) : Bought 1.0000 shares (executed at 2025-10-09)</x:v>
      </x:c>
      <x:c r="N263" s="2" t="str">
        <x:v>Imported</x:v>
      </x:c>
      <x:c r="O263" s="17" t="n">
        <x:f>IF(F263="BUY",G263,IF(F263="SELL",-G263,IF(AND(F263="STKREORG",N263="Applied 4-for-1 CDR split"),G263,0)))</x:f>
        <x:v>1</x:v>
      </x:c>
      <x:c r="P263" s="17" t="n">
        <x:f>SUMIF($E$6:E262,E263,$O$6:O262)</x:f>
        <x:v>14.029300000000001</x:v>
      </x:c>
      <x:c r="Q263" s="18" t="n">
        <x:f>SUMIF($E$6:E262,E263,$S$6:S262)</x:f>
        <x:v>399.66999999999996</x:v>
      </x:c>
      <x:c r="R263" s="18" t="n">
        <x:f>IF(P263&gt;0,Q263/P263,0)</x:f>
        <x:v>28.488235336046696</x:v>
      </x:c>
      <x:c r="S263" s="18" t="n">
        <x:f>IF(F263="BUY",-H263,IF(F263="SELL",-G263*R263,0))</x:f>
        <x:v>36.54</x:v>
      </x:c>
      <x:c r="T263" s="18" t="n">
        <x:f>IF(F263="SELL",IF(G263&gt;P263+0.000001,"REVIEW",H263-G263*R263),0)</x:f>
        <x:v>0</x:v>
      </x:c>
      <x:c r="U263" s="17" t="n">
        <x:f>P263+O263</x:f>
        <x:v>15.029300000000001</x:v>
      </x:c>
      <x:c r="V263" s="18" t="n">
        <x:f>Q263+S263</x:f>
        <x:v>436.21</x:v>
      </x:c>
      <x:c r="W263" s="18" t="n">
        <x:f>IF(F263="DIV",H263,0)</x:f>
        <x:v>0</x:v>
      </x:c>
      <x:c r="X263" s="18" t="n">
        <x:f>IF(F263="CONT",H263,0)</x:f>
        <x:v>0</x:v>
      </x:c>
      <x:c r="Y263" s="2" t="str">
        <x:f>TEXT(C263,"yyyy-mm")</x:f>
        <x:v>2025-10</x:v>
      </x:c>
      <x:c r="Z263" s="2" t="str">
        <x:f>IF(OR(AND(F263="STKREORG",N263&lt;&gt;"Applied 4-for-1 CDR split"),AND(F263="SELL",G263&gt;P263+0.000001)),"REVIEW","OK")</x:f>
        <x:v>OK</x:v>
      </x:c>
    </x:row>
    <x:row r="264" ht="21" customHeight="1">
      <x:c r="A264" s="2"/>
      <x:c r="B264" s="2" t="str">
        <x:v>10ab9aa57891e641f14b</x:v>
      </x:c>
      <x:c r="C264" s="16" t="d">
        <x:v>2025-10-10T00:00:00.000Z</x:v>
      </x:c>
      <x:c r="D264" s="16" t="d">
        <x:v>2025-10-09T00:00:00.000Z</x:v>
      </x:c>
      <x:c r="E264" s="2" t="str">
        <x:v>UPS_ORD</x:v>
      </x:c>
      <x:c r="F264" s="2" t="str">
        <x:v>BUY</x:v>
      </x:c>
      <x:c r="G264" s="17" t="n">
        <x:v>1</x:v>
      </x:c>
      <x:c r="H264" s="18" t="n">
        <x:v>-122.23</x:v>
      </x:c>
      <x:c r="I264" s="18" t="str">
        <x:v>CAD</x:v>
      </x:c>
      <x:c r="J264" s="18" t="n">
        <x:v>856</x:v>
      </x:c>
      <x:c r="K264" s="2" t="str">
        <x:v>TFSA-monthly-statement-transactions-DEMO_CAD-2025-10-01.csv</x:v>
      </x:c>
      <x:c r="L264" s="2" t="n">
        <x:v>13</x:v>
      </x:c>
      <x:c r="M264" s="2" t="str">
        <x:v>UPS - United Parcel Service, Inc. (Class B): Bought 1.0000 shares (executed at 2025-10-09), FX Rate: 1.4290</x:v>
      </x:c>
      <x:c r="N264" s="2" t="str">
        <x:v>Imported</x:v>
      </x:c>
      <x:c r="O264" s="17" t="n">
        <x:f>IF(F264="BUY",G264,IF(F264="SELL",-G264,IF(AND(F264="STKREORG",N264="Applied 4-for-1 CDR split"),G264,0)))</x:f>
        <x:v>1</x:v>
      </x:c>
      <x:c r="P264" s="17" t="n">
        <x:f>SUMIF($E$6:E263,E264,$O$6:O263)</x:f>
        <x:v>0</x:v>
      </x:c>
      <x:c r="Q264" s="18" t="n">
        <x:f>SUMIF($E$6:E263,E264,$S$6:S263)</x:f>
        <x:v>0</x:v>
      </x:c>
      <x:c r="R264" s="18" t="n">
        <x:f>IF(P264&gt;0,Q264/P264,0)</x:f>
        <x:v>0</x:v>
      </x:c>
      <x:c r="S264" s="18" t="n">
        <x:f>IF(F264="BUY",-H264,IF(F264="SELL",-G264*R264,0))</x:f>
        <x:v>122.23</x:v>
      </x:c>
      <x:c r="T264" s="18" t="n">
        <x:f>IF(F264="SELL",IF(G264&gt;P264+0.000001,"REVIEW",H264-G264*R264),0)</x:f>
        <x:v>0</x:v>
      </x:c>
      <x:c r="U264" s="17" t="n">
        <x:f>P264+O264</x:f>
        <x:v>1</x:v>
      </x:c>
      <x:c r="V264" s="18" t="n">
        <x:f>Q264+S264</x:f>
        <x:v>122.23</x:v>
      </x:c>
      <x:c r="W264" s="18" t="n">
        <x:f>IF(F264="DIV",H264,0)</x:f>
        <x:v>0</x:v>
      </x:c>
      <x:c r="X264" s="18" t="n">
        <x:f>IF(F264="CONT",H264,0)</x:f>
        <x:v>0</x:v>
      </x:c>
      <x:c r="Y264" s="2" t="str">
        <x:f>TEXT(C264,"yyyy-mm")</x:f>
        <x:v>2025-10</x:v>
      </x:c>
      <x:c r="Z264" s="2" t="str">
        <x:f>IF(OR(AND(F264="STKREORG",N264&lt;&gt;"Applied 4-for-1 CDR split"),AND(F264="SELL",G264&gt;P264+0.000001)),"REVIEW","OK")</x:f>
        <x:v>OK</x:v>
      </x:c>
    </x:row>
    <x:row r="265" ht="21" customHeight="1">
      <x:c r="A265" s="2"/>
      <x:c r="B265" s="2" t="str">
        <x:v>de7da454f910bfad7a4d</x:v>
      </x:c>
      <x:c r="C265" s="16" t="d">
        <x:v>2025-10-10T00:00:00.000Z</x:v>
      </x:c>
      <x:c r="D265" s="16" t="d">
        <x:v>2025-10-09T00:00:00.000Z</x:v>
      </x:c>
      <x:c r="E265" s="2" t="str">
        <x:v>VCN_ORD</x:v>
      </x:c>
      <x:c r="F265" s="2" t="str">
        <x:v>BUY</x:v>
      </x:c>
      <x:c r="G265" s="17" t="n">
        <x:v>2</x:v>
      </x:c>
      <x:c r="H265" s="18" t="n">
        <x:v>-123.64</x:v>
      </x:c>
      <x:c r="I265" s="18" t="str">
        <x:v>CAD</x:v>
      </x:c>
      <x:c r="J265" s="18" t="n">
        <x:v>732.36</x:v>
      </x:c>
      <x:c r="K265" s="2" t="str">
        <x:v>TFSA-monthly-statement-transactions-DEMO_CAD-2025-10-01.csv</x:v>
      </x:c>
      <x:c r="L265" s="2" t="n">
        <x:v>14</x:v>
      </x:c>
      <x:c r="M265" s="2" t="str">
        <x:v>VCN - Vanguard FTSE Can All Capital Index ETF: Bought 2.0000 shares (executed at 2025-10-09)</x:v>
      </x:c>
      <x:c r="N265" s="2" t="str">
        <x:v>Imported</x:v>
      </x:c>
      <x:c r="O265" s="17" t="n">
        <x:f>IF(F265="BUY",G265,IF(F265="SELL",-G265,IF(AND(F265="STKREORG",N265="Applied 4-for-1 CDR split"),G265,0)))</x:f>
        <x:v>2</x:v>
      </x:c>
      <x:c r="P265" s="17" t="n">
        <x:f>SUMIF($E$6:E264,E265,$O$6:O264)</x:f>
        <x:v>0</x:v>
      </x:c>
      <x:c r="Q265" s="18" t="n">
        <x:f>SUMIF($E$6:E264,E265,$S$6:S264)</x:f>
        <x:v>0</x:v>
      </x:c>
      <x:c r="R265" s="18" t="n">
        <x:f>IF(P265&gt;0,Q265/P265,0)</x:f>
        <x:v>0</x:v>
      </x:c>
      <x:c r="S265" s="18" t="n">
        <x:f>IF(F265="BUY",-H265,IF(F265="SELL",-G265*R265,0))</x:f>
        <x:v>123.64</x:v>
      </x:c>
      <x:c r="T265" s="18" t="n">
        <x:f>IF(F265="SELL",IF(G265&gt;P265+0.000001,"REVIEW",H265-G265*R265),0)</x:f>
        <x:v>0</x:v>
      </x:c>
      <x:c r="U265" s="17" t="n">
        <x:f>P265+O265</x:f>
        <x:v>2</x:v>
      </x:c>
      <x:c r="V265" s="18" t="n">
        <x:f>Q265+S265</x:f>
        <x:v>123.64</x:v>
      </x:c>
      <x:c r="W265" s="18" t="n">
        <x:f>IF(F265="DIV",H265,0)</x:f>
        <x:v>0</x:v>
      </x:c>
      <x:c r="X265" s="18" t="n">
        <x:f>IF(F265="CONT",H265,0)</x:f>
        <x:v>0</x:v>
      </x:c>
      <x:c r="Y265" s="2" t="str">
        <x:f>TEXT(C265,"yyyy-mm")</x:f>
        <x:v>2025-10</x:v>
      </x:c>
      <x:c r="Z265" s="2" t="str">
        <x:f>IF(OR(AND(F265="STKREORG",N265&lt;&gt;"Applied 4-for-1 CDR split"),AND(F265="SELL",G265&gt;P265+0.000001)),"REVIEW","OK")</x:f>
        <x:v>OK</x:v>
      </x:c>
    </x:row>
    <x:row r="266" ht="21" customHeight="1">
      <x:c r="A266" s="2"/>
      <x:c r="B266" s="2" t="str">
        <x:v>2389928de8ffa412814b</x:v>
      </x:c>
      <x:c r="C266" s="16" t="d">
        <x:v>2025-10-14T00:00:00.000Z</x:v>
      </x:c>
      <x:c r="D266" s="16" t="d">
        <x:v>2025-10-10T00:00:00.000Z</x:v>
      </x:c>
      <x:c r="E266" s="2" t="str">
        <x:v>NVDA_CDR</x:v>
      </x:c>
      <x:c r="F266" s="2" t="str">
        <x:v>BUY</x:v>
      </x:c>
      <x:c r="G266" s="17" t="n">
        <x:v>0.0004</x:v>
      </x:c>
      <x:c r="H266" s="18" t="n">
        <x:v>-0.02</x:v>
      </x:c>
      <x:c r="I266" s="18" t="str">
        <x:v>CAD</x:v>
      </x:c>
      <x:c r="J266" s="18" t="n">
        <x:v>732.34</x:v>
      </x:c>
      <x:c r="K266" s="2" t="str">
        <x:v>TFSA-monthly-statement-transactions-DEMO_CAD-2025-10-01.csv</x:v>
      </x:c>
      <x:c r="L266" s="2" t="n">
        <x:v>15</x:v>
      </x:c>
      <x:c r="M266" s="2" t="str">
        <x:v>NVDA - Nvidia CDR (CAD Hedged): Bought 0.0004 shares (executed at 2025-10-10)</x:v>
      </x:c>
      <x:c r="N266" s="2" t="str">
        <x:v>Imported</x:v>
      </x:c>
      <x:c r="O266" s="17" t="n">
        <x:f>IF(F266="BUY",G266,IF(F266="SELL",-G266,IF(AND(F266="STKREORG",N266="Applied 4-for-1 CDR split"),G266,0)))</x:f>
        <x:v>0.0004</x:v>
      </x:c>
      <x:c r="P266" s="17" t="n">
        <x:f>SUMIF($E$6:E265,E266,$O$6:O265)</x:f>
        <x:v>10.0013</x:v>
      </x:c>
      <x:c r="Q266" s="18" t="n">
        <x:f>SUMIF($E$6:E265,E266,$S$6:S265)</x:f>
        <x:v>290.0899999999999</x:v>
      </x:c>
      <x:c r="R266" s="18" t="n">
        <x:f>IF(P266&gt;0,Q266/P266,0)</x:f>
        <x:v>29.005229320188366</x:v>
      </x:c>
      <x:c r="S266" s="18" t="n">
        <x:f>IF(F266="BUY",-H266,IF(F266="SELL",-G266*R266,0))</x:f>
        <x:v>0.02</x:v>
      </x:c>
      <x:c r="T266" s="18" t="n">
        <x:f>IF(F266="SELL",IF(G266&gt;P266+0.000001,"REVIEW",H266-G266*R266),0)</x:f>
        <x:v>0</x:v>
      </x:c>
      <x:c r="U266" s="17" t="n">
        <x:f>P266+O266</x:f>
        <x:v>10.001700000000001</x:v>
      </x:c>
      <x:c r="V266" s="18" t="n">
        <x:f>Q266+S266</x:f>
        <x:v>290.1099999999999</x:v>
      </x:c>
      <x:c r="W266" s="18" t="n">
        <x:f>IF(F266="DIV",H266,0)</x:f>
        <x:v>0</x:v>
      </x:c>
      <x:c r="X266" s="18" t="n">
        <x:f>IF(F266="CONT",H266,0)</x:f>
        <x:v>0</x:v>
      </x:c>
      <x:c r="Y266" s="2" t="str">
        <x:f>TEXT(C266,"yyyy-mm")</x:f>
        <x:v>2025-10</x:v>
      </x:c>
      <x:c r="Z266" s="2" t="str">
        <x:f>IF(OR(AND(F266="STKREORG",N266&lt;&gt;"Applied 4-for-1 CDR split"),AND(F266="SELL",G266&gt;P266+0.000001)),"REVIEW","OK")</x:f>
        <x:v>OK</x:v>
      </x:c>
    </x:row>
    <x:row r="267" ht="21" customHeight="1">
      <x:c r="A267" s="2"/>
      <x:c r="B267" s="2" t="str">
        <x:v>51159308c4da7aa87d07</x:v>
      </x:c>
      <x:c r="C267" s="16" t="d">
        <x:v>2025-10-15T00:00:00.000Z</x:v>
      </x:c>
      <x:c r="D267" s="16" t="d">
        <x:v>2025-10-14T00:00:00.000Z</x:v>
      </x:c>
      <x:c r="E267" s="2" t="str">
        <x:v>FINN_ORD</x:v>
      </x:c>
      <x:c r="F267" s="2" t="str">
        <x:v>BUY</x:v>
      </x:c>
      <x:c r="G267" s="17" t="n">
        <x:v>4</x:v>
      </x:c>
      <x:c r="H267" s="18" t="n">
        <x:v>-94.64</x:v>
      </x:c>
      <x:c r="I267" s="18" t="str">
        <x:v>CAD</x:v>
      </x:c>
      <x:c r="J267" s="18" t="n">
        <x:v>637.7</x:v>
      </x:c>
      <x:c r="K267" s="2" t="str">
        <x:v>TFSA-monthly-statement-transactions-DEMO_CAD-2025-10-01.csv</x:v>
      </x:c>
      <x:c r="L267" s="2" t="n">
        <x:v>16</x:v>
      </x:c>
      <x:c r="M267" s="2" t="str">
        <x:v>FINN - Fidelity Global Innovators ETF - Series L: Bought 4.0000 shares (executed at 2025-10-14)</x:v>
      </x:c>
      <x:c r="N267" s="2" t="str">
        <x:v>Imported</x:v>
      </x:c>
      <x:c r="O267" s="17" t="n">
        <x:f>IF(F267="BUY",G267,IF(F267="SELL",-G267,IF(AND(F267="STKREORG",N267="Applied 4-for-1 CDR split"),G267,0)))</x:f>
        <x:v>4</x:v>
      </x:c>
      <x:c r="P267" s="17" t="n">
        <x:f>SUMIF($E$6:E266,E267,$O$6:O266)</x:f>
        <x:v>52</x:v>
      </x:c>
      <x:c r="Q267" s="18" t="n">
        <x:f>SUMIF($E$6:E266,E267,$S$6:S266)</x:f>
        <x:v>979.14</x:v>
      </x:c>
      <x:c r="R267" s="18" t="n">
        <x:f>IF(P267&gt;0,Q267/P267,0)</x:f>
        <x:v>18.829615384615384</x:v>
      </x:c>
      <x:c r="S267" s="18" t="n">
        <x:f>IF(F267="BUY",-H267,IF(F267="SELL",-G267*R267,0))</x:f>
        <x:v>94.64</x:v>
      </x:c>
      <x:c r="T267" s="18" t="n">
        <x:f>IF(F267="SELL",IF(G267&gt;P267+0.000001,"REVIEW",H267-G267*R267),0)</x:f>
        <x:v>0</x:v>
      </x:c>
      <x:c r="U267" s="17" t="n">
        <x:f>P267+O267</x:f>
        <x:v>56</x:v>
      </x:c>
      <x:c r="V267" s="18" t="n">
        <x:f>Q267+S267</x:f>
        <x:v>1073.78</x:v>
      </x:c>
      <x:c r="W267" s="18" t="n">
        <x:f>IF(F267="DIV",H267,0)</x:f>
        <x:v>0</x:v>
      </x:c>
      <x:c r="X267" s="18" t="n">
        <x:f>IF(F267="CONT",H267,0)</x:f>
        <x:v>0</x:v>
      </x:c>
      <x:c r="Y267" s="2" t="str">
        <x:f>TEXT(C267,"yyyy-mm")</x:f>
        <x:v>2025-10</x:v>
      </x:c>
      <x:c r="Z267" s="2" t="str">
        <x:f>IF(OR(AND(F267="STKREORG",N267&lt;&gt;"Applied 4-for-1 CDR split"),AND(F267="SELL",G267&gt;P267+0.000001)),"REVIEW","OK")</x:f>
        <x:v>OK</x:v>
      </x:c>
    </x:row>
    <x:row r="268" ht="21" customHeight="1">
      <x:c r="A268" s="2"/>
      <x:c r="B268" s="2" t="str">
        <x:v>1bab1276ca9c65490c0b</x:v>
      </x:c>
      <x:c r="C268" s="16" t="d">
        <x:v>2025-10-15T00:00:00.000Z</x:v>
      </x:c>
      <x:c r="D268" s="16" t="d">
        <x:v>2025-10-14T00:00:00.000Z</x:v>
      </x:c>
      <x:c r="E268" s="2" t="str">
        <x:v>NVDA_CDR</x:v>
      </x:c>
      <x:c r="F268" s="2" t="str">
        <x:v>BUY</x:v>
      </x:c>
      <x:c r="G268" s="17" t="n">
        <x:v>2</x:v>
      </x:c>
      <x:c r="H268" s="18" t="n">
        <x:v>-84.6</x:v>
      </x:c>
      <x:c r="I268" s="18" t="str">
        <x:v>CAD</x:v>
      </x:c>
      <x:c r="J268" s="18" t="n">
        <x:v>553.1</x:v>
      </x:c>
      <x:c r="K268" s="2" t="str">
        <x:v>TFSA-monthly-statement-transactions-DEMO_CAD-2025-10-01.csv</x:v>
      </x:c>
      <x:c r="L268" s="2" t="n">
        <x:v>17</x:v>
      </x:c>
      <x:c r="M268" s="2" t="str">
        <x:v>NVDA - Nvidia CDR (CAD Hedged): Bought 2.0000 shares (executed at 2025-10-14)</x:v>
      </x:c>
      <x:c r="N268" s="2" t="str">
        <x:v>Imported</x:v>
      </x:c>
      <x:c r="O268" s="17" t="n">
        <x:f>IF(F268="BUY",G268,IF(F268="SELL",-G268,IF(AND(F268="STKREORG",N268="Applied 4-for-1 CDR split"),G268,0)))</x:f>
        <x:v>2</x:v>
      </x:c>
      <x:c r="P268" s="17" t="n">
        <x:f>SUMIF($E$6:E267,E268,$O$6:O267)</x:f>
        <x:v>10.001700000000001</x:v>
      </x:c>
      <x:c r="Q268" s="18" t="n">
        <x:f>SUMIF($E$6:E267,E268,$S$6:S267)</x:f>
        <x:v>290.1099999999999</x:v>
      </x:c>
      <x:c r="R268" s="18" t="n">
        <x:f>IF(P268&gt;0,Q268/P268,0)</x:f>
        <x:v>29.00606896827538</x:v>
      </x:c>
      <x:c r="S268" s="18" t="n">
        <x:f>IF(F268="BUY",-H268,IF(F268="SELL",-G268*R268,0))</x:f>
        <x:v>84.6</x:v>
      </x:c>
      <x:c r="T268" s="18" t="n">
        <x:f>IF(F268="SELL",IF(G268&gt;P268+0.000001,"REVIEW",H268-G268*R268),0)</x:f>
        <x:v>0</x:v>
      </x:c>
      <x:c r="U268" s="17" t="n">
        <x:f>P268+O268</x:f>
        <x:v>12.001700000000001</x:v>
      </x:c>
      <x:c r="V268" s="18" t="n">
        <x:f>Q268+S268</x:f>
        <x:v>374.7099999999999</x:v>
      </x:c>
      <x:c r="W268" s="18" t="n">
        <x:f>IF(F268="DIV",H268,0)</x:f>
        <x:v>0</x:v>
      </x:c>
      <x:c r="X268" s="18" t="n">
        <x:f>IF(F268="CONT",H268,0)</x:f>
        <x:v>0</x:v>
      </x:c>
      <x:c r="Y268" s="2" t="str">
        <x:f>TEXT(C268,"yyyy-mm")</x:f>
        <x:v>2025-10</x:v>
      </x:c>
      <x:c r="Z268" s="2" t="str">
        <x:f>IF(OR(AND(F268="STKREORG",N268&lt;&gt;"Applied 4-for-1 CDR split"),AND(F268="SELL",G268&gt;P268+0.000001)),"REVIEW","OK")</x:f>
        <x:v>OK</x:v>
      </x:c>
    </x:row>
    <x:row r="269" ht="21" customHeight="1">
      <x:c r="A269" s="2"/>
      <x:c r="B269" s="2" t="str">
        <x:v>2501e6b188264ca6ad39</x:v>
      </x:c>
      <x:c r="C269" s="16" t="d">
        <x:v>2025-10-15T00:00:00.000Z</x:v>
      </x:c>
      <x:c r="D269" s="16" t="d">
        <x:v>2025-10-14T00:00:00.000Z</x:v>
      </x:c>
      <x:c r="E269" s="2" t="str">
        <x:v>AMZN_CDR</x:v>
      </x:c>
      <x:c r="F269" s="2" t="str">
        <x:v>BUY</x:v>
      </x:c>
      <x:c r="G269" s="17" t="n">
        <x:v>5</x:v>
      </x:c>
      <x:c r="H269" s="18" t="n">
        <x:v>-125.9</x:v>
      </x:c>
      <x:c r="I269" s="18" t="str">
        <x:v>CAD</x:v>
      </x:c>
      <x:c r="J269" s="18" t="n">
        <x:v>427.2</x:v>
      </x:c>
      <x:c r="K269" s="2" t="str">
        <x:v>TFSA-monthly-statement-transactions-DEMO_CAD-2025-10-01.csv</x:v>
      </x:c>
      <x:c r="L269" s="2" t="n">
        <x:v>18</x:v>
      </x:c>
      <x:c r="M269" s="2" t="str">
        <x:v>AMZN - Amazon.com CDR (CAD Hedged): Bought 5.0000 shares (executed at 2025-10-14)</x:v>
      </x:c>
      <x:c r="N269" s="2" t="str">
        <x:v>Imported</x:v>
      </x:c>
      <x:c r="O269" s="17" t="n">
        <x:f>IF(F269="BUY",G269,IF(F269="SELL",-G269,IF(AND(F269="STKREORG",N269="Applied 4-for-1 CDR split"),G269,0)))</x:f>
        <x:v>5</x:v>
      </x:c>
      <x:c r="P269" s="17" t="n">
        <x:f>SUMIF($E$6:E268,E269,$O$6:O268)</x:f>
        <x:v>11</x:v>
      </x:c>
      <x:c r="Q269" s="18" t="n">
        <x:f>SUMIF($E$6:E268,E269,$S$6:S268)</x:f>
        <x:v>264.89</x:v>
      </x:c>
      <x:c r="R269" s="18" t="n">
        <x:f>IF(P269&gt;0,Q269/P269,0)</x:f>
        <x:v>24.08090909090909</x:v>
      </x:c>
      <x:c r="S269" s="18" t="n">
        <x:f>IF(F269="BUY",-H269,IF(F269="SELL",-G269*R269,0))</x:f>
        <x:v>125.9</x:v>
      </x:c>
      <x:c r="T269" s="18" t="n">
        <x:f>IF(F269="SELL",IF(G269&gt;P269+0.000001,"REVIEW",H269-G269*R269),0)</x:f>
        <x:v>0</x:v>
      </x:c>
      <x:c r="U269" s="17" t="n">
        <x:f>P269+O269</x:f>
        <x:v>16</x:v>
      </x:c>
      <x:c r="V269" s="18" t="n">
        <x:f>Q269+S269</x:f>
        <x:v>390.78999999999996</x:v>
      </x:c>
      <x:c r="W269" s="18" t="n">
        <x:f>IF(F269="DIV",H269,0)</x:f>
        <x:v>0</x:v>
      </x:c>
      <x:c r="X269" s="18" t="n">
        <x:f>IF(F269="CONT",H269,0)</x:f>
        <x:v>0</x:v>
      </x:c>
      <x:c r="Y269" s="2" t="str">
        <x:f>TEXT(C269,"yyyy-mm")</x:f>
        <x:v>2025-10</x:v>
      </x:c>
      <x:c r="Z269" s="2" t="str">
        <x:f>IF(OR(AND(F269="STKREORG",N269&lt;&gt;"Applied 4-for-1 CDR split"),AND(F269="SELL",G269&gt;P269+0.000001)),"REVIEW","OK")</x:f>
        <x:v>OK</x:v>
      </x:c>
    </x:row>
    <x:row r="270" ht="21" customHeight="1">
      <x:c r="A270" s="2"/>
      <x:c r="B270" s="2" t="str">
        <x:v>c96f22c4adad5989d367</x:v>
      </x:c>
      <x:c r="C270" s="16" t="d">
        <x:v>2025-10-15T00:00:00.000Z</x:v>
      </x:c>
      <x:c r="D270" s="16" t="d">
        <x:v>2025-10-14T00:00:00.000Z</x:v>
      </x:c>
      <x:c r="E270" s="2" t="str">
        <x:v>XEQT_ORD</x:v>
      </x:c>
      <x:c r="F270" s="2" t="str">
        <x:v>BUY</x:v>
      </x:c>
      <x:c r="G270" s="17" t="n">
        <x:v>3</x:v>
      </x:c>
      <x:c r="H270" s="18" t="n">
        <x:v>-116.7</x:v>
      </x:c>
      <x:c r="I270" s="18" t="str">
        <x:v>CAD</x:v>
      </x:c>
      <x:c r="J270" s="18" t="n">
        <x:v>310.5</x:v>
      </x:c>
      <x:c r="K270" s="2" t="str">
        <x:v>TFSA-monthly-statement-transactions-DEMO_CAD-2025-10-01.csv</x:v>
      </x:c>
      <x:c r="L270" s="2" t="n">
        <x:v>19</x:v>
      </x:c>
      <x:c r="M270" s="2" t="str">
        <x:v>XEQT - iShares Core Equity ETF Portfolio: Bought 3.0000 shares (executed at 2025-10-14)</x:v>
      </x:c>
      <x:c r="N270" s="2" t="str">
        <x:v>Imported</x:v>
      </x:c>
      <x:c r="O270" s="17" t="n">
        <x:f>IF(F270="BUY",G270,IF(F270="SELL",-G270,IF(AND(F270="STKREORG",N270="Applied 4-for-1 CDR split"),G270,0)))</x:f>
        <x:v>3</x:v>
      </x:c>
      <x:c r="P270" s="17" t="n">
        <x:f>SUMIF($E$6:E269,E270,$O$6:O269)</x:f>
        <x:v>120.8272</x:v>
      </x:c>
      <x:c r="Q270" s="18" t="n">
        <x:f>SUMIF($E$6:E269,E270,$S$6:S269)</x:f>
        <x:v>4146.834644929883</x:v>
      </x:c>
      <x:c r="R270" s="18" t="n">
        <x:f>IF(P270&gt;0,Q270/P270,0)</x:f>
        <x:v>34.32037359907275</x:v>
      </x:c>
      <x:c r="S270" s="18" t="n">
        <x:f>IF(F270="BUY",-H270,IF(F270="SELL",-G270*R270,0))</x:f>
        <x:v>116.7</x:v>
      </x:c>
      <x:c r="T270" s="18" t="n">
        <x:f>IF(F270="SELL",IF(G270&gt;P270+0.000001,"REVIEW",H270-G270*R270),0)</x:f>
        <x:v>0</x:v>
      </x:c>
      <x:c r="U270" s="17" t="n">
        <x:f>P270+O270</x:f>
        <x:v>123.8272</x:v>
      </x:c>
      <x:c r="V270" s="18" t="n">
        <x:f>Q270+S270</x:f>
        <x:v>4263.534644929883</x:v>
      </x:c>
      <x:c r="W270" s="18" t="n">
        <x:f>IF(F270="DIV",H270,0)</x:f>
        <x:v>0</x:v>
      </x:c>
      <x:c r="X270" s="18" t="n">
        <x:f>IF(F270="CONT",H270,0)</x:f>
        <x:v>0</x:v>
      </x:c>
      <x:c r="Y270" s="2" t="str">
        <x:f>TEXT(C270,"yyyy-mm")</x:f>
        <x:v>2025-10</x:v>
      </x:c>
      <x:c r="Z270" s="2" t="str">
        <x:f>IF(OR(AND(F270="STKREORG",N270&lt;&gt;"Applied 4-for-1 CDR split"),AND(F270="SELL",G270&gt;P270+0.000001)),"REVIEW","OK")</x:f>
        <x:v>OK</x:v>
      </x:c>
    </x:row>
    <x:row r="271" ht="21" customHeight="1">
      <x:c r="A271" s="2"/>
      <x:c r="B271" s="2" t="str">
        <x:v>50497fff3c77c6f7a2b8</x:v>
      </x:c>
      <x:c r="C271" s="16" t="d">
        <x:v>2025-10-15T00:00:00.000Z</x:v>
      </x:c>
      <x:c r="D271" s="16" t="d">
        <x:v>2025-10-14T00:00:00.000Z</x:v>
      </x:c>
      <x:c r="E271" s="2" t="str">
        <x:v>VFV_ORD</x:v>
      </x:c>
      <x:c r="F271" s="2" t="str">
        <x:v>BUY</x:v>
      </x:c>
      <x:c r="G271" s="17" t="n">
        <x:v>1</x:v>
      </x:c>
      <x:c r="H271" s="18" t="n">
        <x:v>-164.08</x:v>
      </x:c>
      <x:c r="I271" s="18" t="str">
        <x:v>CAD</x:v>
      </x:c>
      <x:c r="J271" s="18" t="n">
        <x:v>146.42</x:v>
      </x:c>
      <x:c r="K271" s="2" t="str">
        <x:v>TFSA-monthly-statement-transactions-DEMO_CAD-2025-10-01.csv</x:v>
      </x:c>
      <x:c r="L271" s="2" t="n">
        <x:v>20</x:v>
      </x:c>
      <x:c r="M271" s="2" t="str">
        <x:v>VFV - Vanguard S&amp;P 500 Index ETF: Bought 1.0000 shares (executed at 2025-10-14)</x:v>
      </x:c>
      <x:c r="N271" s="2" t="str">
        <x:v>Imported</x:v>
      </x:c>
      <x:c r="O271" s="17" t="n">
        <x:f>IF(F271="BUY",G271,IF(F271="SELL",-G271,IF(AND(F271="STKREORG",N271="Applied 4-for-1 CDR split"),G271,0)))</x:f>
        <x:v>1</x:v>
      </x:c>
      <x:c r="P271" s="17" t="n">
        <x:f>SUMIF($E$6:E270,E271,$O$6:O270)</x:f>
        <x:v>51.2578</x:v>
      </x:c>
      <x:c r="Q271" s="18" t="n">
        <x:f>SUMIF($E$6:E270,E271,$S$6:S270)</x:f>
        <x:v>7621.349991735696</x:v>
      </x:c>
      <x:c r="R271" s="18" t="n">
        <x:f>IF(P271&gt;0,Q271/P271,0)</x:f>
        <x:v>148.6866387503111</x:v>
      </x:c>
      <x:c r="S271" s="18" t="n">
        <x:f>IF(F271="BUY",-H271,IF(F271="SELL",-G271*R271,0))</x:f>
        <x:v>164.08</x:v>
      </x:c>
      <x:c r="T271" s="18" t="n">
        <x:f>IF(F271="SELL",IF(G271&gt;P271+0.000001,"REVIEW",H271-G271*R271),0)</x:f>
        <x:v>0</x:v>
      </x:c>
      <x:c r="U271" s="17" t="n">
        <x:f>P271+O271</x:f>
        <x:v>52.2578</x:v>
      </x:c>
      <x:c r="V271" s="18" t="n">
        <x:f>Q271+S271</x:f>
        <x:v>7785.429991735696</x:v>
      </x:c>
      <x:c r="W271" s="18" t="n">
        <x:f>IF(F271="DIV",H271,0)</x:f>
        <x:v>0</x:v>
      </x:c>
      <x:c r="X271" s="18" t="n">
        <x:f>IF(F271="CONT",H271,0)</x:f>
        <x:v>0</x:v>
      </x:c>
      <x:c r="Y271" s="2" t="str">
        <x:f>TEXT(C271,"yyyy-mm")</x:f>
        <x:v>2025-10</x:v>
      </x:c>
      <x:c r="Z271" s="2" t="str">
        <x:f>IF(OR(AND(F271="STKREORG",N271&lt;&gt;"Applied 4-for-1 CDR split"),AND(F271="SELL",G271&gt;P271+0.000001)),"REVIEW","OK")</x:f>
        <x:v>OK</x:v>
      </x:c>
    </x:row>
    <x:row r="272" ht="21" customHeight="1">
      <x:c r="A272" s="2"/>
      <x:c r="B272" s="2" t="str">
        <x:v>08e6944a1341583de803</x:v>
      </x:c>
      <x:c r="C272" s="16" t="d">
        <x:v>2025-10-23T00:00:00.000Z</x:v>
      </x:c>
      <x:c r="D272" s="16" t="d">
        <x:v>2025-10-22T00:00:00.000Z</x:v>
      </x:c>
      <x:c r="E272" s="2" t="str">
        <x:v>VCN_ORD</x:v>
      </x:c>
      <x:c r="F272" s="2" t="str">
        <x:v>BUY</x:v>
      </x:c>
      <x:c r="G272" s="17" t="n">
        <x:v>1</x:v>
      </x:c>
      <x:c r="H272" s="18" t="n">
        <x:v>-60.85</x:v>
      </x:c>
      <x:c r="I272" s="18" t="str">
        <x:v>CAD</x:v>
      </x:c>
      <x:c r="J272" s="18" t="n">
        <x:v>85.57</x:v>
      </x:c>
      <x:c r="K272" s="2" t="str">
        <x:v>TFSA-monthly-statement-transactions-DEMO_CAD-2025-10-01.csv</x:v>
      </x:c>
      <x:c r="L272" s="2" t="n">
        <x:v>21</x:v>
      </x:c>
      <x:c r="M272" s="2" t="str">
        <x:v>VCN - Vanguard FTSE Can All Capital Index ETF: Bought 1.0000 shares (executed at 2025-10-22)</x:v>
      </x:c>
      <x:c r="N272" s="2" t="str">
        <x:v>Imported</x:v>
      </x:c>
      <x:c r="O272" s="17" t="n">
        <x:f>IF(F272="BUY",G272,IF(F272="SELL",-G272,IF(AND(F272="STKREORG",N272="Applied 4-for-1 CDR split"),G272,0)))</x:f>
        <x:v>1</x:v>
      </x:c>
      <x:c r="P272" s="17" t="n">
        <x:f>SUMIF($E$6:E271,E272,$O$6:O271)</x:f>
        <x:v>2</x:v>
      </x:c>
      <x:c r="Q272" s="18" t="n">
        <x:f>SUMIF($E$6:E271,E272,$S$6:S271)</x:f>
        <x:v>123.64</x:v>
      </x:c>
      <x:c r="R272" s="18" t="n">
        <x:f>IF(P272&gt;0,Q272/P272,0)</x:f>
        <x:v>61.82</x:v>
      </x:c>
      <x:c r="S272" s="18" t="n">
        <x:f>IF(F272="BUY",-H272,IF(F272="SELL",-G272*R272,0))</x:f>
        <x:v>60.85</x:v>
      </x:c>
      <x:c r="T272" s="18" t="n">
        <x:f>IF(F272="SELL",IF(G272&gt;P272+0.000001,"REVIEW",H272-G272*R272),0)</x:f>
        <x:v>0</x:v>
      </x:c>
      <x:c r="U272" s="17" t="n">
        <x:f>P272+O272</x:f>
        <x:v>3</x:v>
      </x:c>
      <x:c r="V272" s="18" t="n">
        <x:f>Q272+S272</x:f>
        <x:v>184.49</x:v>
      </x:c>
      <x:c r="W272" s="18" t="n">
        <x:f>IF(F272="DIV",H272,0)</x:f>
        <x:v>0</x:v>
      </x:c>
      <x:c r="X272" s="18" t="n">
        <x:f>IF(F272="CONT",H272,0)</x:f>
        <x:v>0</x:v>
      </x:c>
      <x:c r="Y272" s="2" t="str">
        <x:f>TEXT(C272,"yyyy-mm")</x:f>
        <x:v>2025-10</x:v>
      </x:c>
      <x:c r="Z272" s="2" t="str">
        <x:f>IF(OR(AND(F272="STKREORG",N272&lt;&gt;"Applied 4-for-1 CDR split"),AND(F272="SELL",G272&gt;P272+0.000001)),"REVIEW","OK")</x:f>
        <x:v>OK</x:v>
      </x:c>
    </x:row>
    <x:row r="273" ht="21" customHeight="1">
      <x:c r="A273" s="2"/>
      <x:c r="B273" s="2" t="str">
        <x:v>d942f2e0ef10bb6ad226</x:v>
      </x:c>
      <x:c r="C273" s="16" t="d">
        <x:v>2025-10-30T00:00:00.000Z</x:v>
      </x:c>
      <x:c r="D273" s="16" t="d">
        <x:v>2025-10-29T00:00:00.000Z</x:v>
      </x:c>
      <x:c r="E273" s="2" t="str">
        <x:v>ZMMK_ORD</x:v>
      </x:c>
      <x:c r="F273" s="2" t="str">
        <x:v>SELL</x:v>
      </x:c>
      <x:c r="G273" s="17" t="n">
        <x:v>10</x:v>
      </x:c>
      <x:c r="H273" s="18" t="n">
        <x:v>499.4</x:v>
      </x:c>
      <x:c r="I273" s="18" t="str">
        <x:v>CAD</x:v>
      </x:c>
      <x:c r="J273" s="18" t="n">
        <x:v>584.97</x:v>
      </x:c>
      <x:c r="K273" s="2" t="str">
        <x:v>TFSA-monthly-statement-transactions-DEMO_CAD-2025-10-01.csv</x:v>
      </x:c>
      <x:c r="L273" s="2" t="n">
        <x:v>22</x:v>
      </x:c>
      <x:c r="M273" s="2" t="str">
        <x:v>ZMMK - BMO Money Market Fund ETF: Sold 10.0000 shares (executed at 2025-10-29)</x:v>
      </x:c>
      <x:c r="N273" s="2" t="str">
        <x:v>Imported</x:v>
      </x:c>
      <x:c r="O273" s="17" t="n">
        <x:f>IF(F273="BUY",G273,IF(F273="SELL",-G273,IF(AND(F273="STKREORG",N273="Applied 4-for-1 CDR split"),G273,0)))</x:f>
        <x:v>-10</x:v>
      </x:c>
      <x:c r="P273" s="17" t="n">
        <x:f>SUMIF($E$6:E272,E273,$O$6:O272)</x:f>
        <x:v>76.6223</x:v>
      </x:c>
      <x:c r="Q273" s="18" t="n">
        <x:f>SUMIF($E$6:E272,E273,$S$6:S272)</x:f>
        <x:v>3825.4198770807593</x:v>
      </x:c>
      <x:c r="R273" s="18" t="n">
        <x:f>IF(P273&gt;0,Q273/P273,0)</x:f>
        <x:v>49.92567277516806</x:v>
      </x:c>
      <x:c r="S273" s="18" t="n">
        <x:f>IF(F273="BUY",-H273,IF(F273="SELL",-G273*R273,0))</x:f>
        <x:v>-499.2567277516806</x:v>
      </x:c>
      <x:c r="T273" s="18" t="n">
        <x:f>IF(F273="SELL",IF(G273&gt;P273+0.000001,"REVIEW",H273-G273*R273),0)</x:f>
        <x:v>0.14327224831936292</x:v>
      </x:c>
      <x:c r="U273" s="17" t="n">
        <x:f>P273+O273</x:f>
        <x:v>66.6223</x:v>
      </x:c>
      <x:c r="V273" s="18" t="n">
        <x:f>Q273+S273</x:f>
        <x:v>3326.163149329079</x:v>
      </x:c>
      <x:c r="W273" s="18" t="n">
        <x:f>IF(F273="DIV",H273,0)</x:f>
        <x:v>0</x:v>
      </x:c>
      <x:c r="X273" s="18" t="n">
        <x:f>IF(F273="CONT",H273,0)</x:f>
        <x:v>0</x:v>
      </x:c>
      <x:c r="Y273" s="2" t="str">
        <x:f>TEXT(C273,"yyyy-mm")</x:f>
        <x:v>2025-10</x:v>
      </x:c>
      <x:c r="Z273" s="2" t="str">
        <x:f>IF(OR(AND(F273="STKREORG",N273&lt;&gt;"Applied 4-for-1 CDR split"),AND(F273="SELL",G273&gt;P273+0.000001)),"REVIEW","OK")</x:f>
        <x:v>OK</x:v>
      </x:c>
    </x:row>
    <x:row r="274" ht="21" customHeight="1">
      <x:c r="A274" s="2"/>
      <x:c r="B274" s="2" t="str">
        <x:v>d0c363cc41d56b9c39c4</x:v>
      </x:c>
      <x:c r="C274" s="16" t="d">
        <x:v>2025-10-31T00:00:00.000Z</x:v>
      </x:c>
      <x:c r="D274" s="16" t="d">
        <x:v>2025-10-31T00:00:00.000Z</x:v>
      </x:c>
      <x:c r="E274" s="2" t="str">
        <x:v>CPX_ORD</x:v>
      </x:c>
      <x:c r="F274" s="2" t="str">
        <x:v>DIV</x:v>
      </x:c>
      <x:c r="G274" s="17" t="n">
        <x:v>0</x:v>
      </x:c>
      <x:c r="H274" s="18" t="n">
        <x:v>1.38</x:v>
      </x:c>
      <x:c r="I274" s="18" t="str">
        <x:v>CAD</x:v>
      </x:c>
      <x:c r="J274" s="18" t="n">
        <x:v>586.35</x:v>
      </x:c>
      <x:c r="K274" s="2" t="str">
        <x:v>TFSA-monthly-statement-transactions-DEMO_CAD-2025-10-01.csv</x:v>
      </x:c>
      <x:c r="L274" s="2" t="n">
        <x:v>23</x:v>
      </x:c>
      <x:c r="M274" s="2" t="str">
        <x:v>CPX - Capital Power Corp: Cash dividend distribution, received on 2025-10-31, record date of 2025-09-29</x:v>
      </x:c>
      <x:c r="N274" s="2" t="str">
        <x:v>Imported</x:v>
      </x:c>
      <x:c r="O274" s="17" t="n">
        <x:f>IF(F274="BUY",G274,IF(F274="SELL",-G274,IF(AND(F274="STKREORG",N274="Applied 4-for-1 CDR split"),G274,0)))</x:f>
        <x:v>0</x:v>
      </x:c>
      <x:c r="P274" s="17" t="n">
        <x:f>SUMIF($E$6:E273,E274,$O$6:O273)</x:f>
        <x:v>2</x:v>
      </x:c>
      <x:c r="Q274" s="18" t="n">
        <x:f>SUMIF($E$6:E273,E274,$S$6:S273)</x:f>
        <x:v>120.76</x:v>
      </x:c>
      <x:c r="R274" s="18" t="n">
        <x:f>IF(P274&gt;0,Q274/P274,0)</x:f>
        <x:v>60.38</x:v>
      </x:c>
      <x:c r="S274" s="18" t="n">
        <x:f>IF(F274="BUY",-H274,IF(F274="SELL",-G274*R274,0))</x:f>
        <x:v>0</x:v>
      </x:c>
      <x:c r="T274" s="18" t="n">
        <x:f>IF(F274="SELL",IF(G274&gt;P274+0.000001,"REVIEW",H274-G274*R274),0)</x:f>
        <x:v>0</x:v>
      </x:c>
      <x:c r="U274" s="17" t="n">
        <x:f>P274+O274</x:f>
        <x:v>2</x:v>
      </x:c>
      <x:c r="V274" s="18" t="n">
        <x:f>Q274+S274</x:f>
        <x:v>120.76</x:v>
      </x:c>
      <x:c r="W274" s="18" t="n">
        <x:f>IF(F274="DIV",H274,0)</x:f>
        <x:v>1.38</x:v>
      </x:c>
      <x:c r="X274" s="18" t="n">
        <x:f>IF(F274="CONT",H274,0)</x:f>
        <x:v>0</x:v>
      </x:c>
      <x:c r="Y274" s="2" t="str">
        <x:f>TEXT(C274,"yyyy-mm")</x:f>
        <x:v>2025-10</x:v>
      </x:c>
      <x:c r="Z274" s="2" t="str">
        <x:f>IF(OR(AND(F274="STKREORG",N274&lt;&gt;"Applied 4-for-1 CDR split"),AND(F274="SELL",G274&gt;P274+0.000001)),"REVIEW","OK")</x:f>
        <x:v>OK</x:v>
      </x:c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  <x:tableParts count="1">
    <x:tablePart xmlns:r="http://schemas.openxmlformats.org/officeDocument/2006/relationships" r:id="R6a024a0183fb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Add a transaction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Use existing SecurityID values. No Excel Stocks search is required.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2"/>
      <x:c r="B5" s="2" t="str">
        <x:v>Date</x:v>
      </x:c>
      <x:c r="C5" s="41" t="str"/>
      <x:c r="D5" s="2"/>
      <x:c r="E5" s="44" t="str">
        <x:v>Enable the automation controls</x:v>
      </x:c>
      <x:c r="F5" s="43"/>
      <x:c r="G5" s="43"/>
      <x:c r="H5" s="43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2"/>
      <x:c r="B6" s="2" t="str">
        <x:v>SecurityID</x:v>
      </x:c>
      <x:c r="C6" s="42" t="str"/>
      <x:c r="D6" s="2"/>
      <x:c r="E6" s="43"/>
      <x:c r="F6" s="43"/>
      <x:c r="G6" s="43"/>
      <x:c r="H6" s="43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2"/>
      <x:c r="B7" s="2" t="str">
        <x:v>Type</x:v>
      </x:c>
      <x:c r="C7" s="42" t="str">
        <x:v>BUY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2"/>
      <x:c r="B8" s="2" t="str">
        <x:v>Quantity</x:v>
      </x:c>
      <x:c r="C8" s="42"/>
      <x:c r="D8" s="2"/>
      <x:c r="E8" s="32" t="str">
        <x:v>After importing the VBA module into a saved .xlsm copy, press Alt+F8, select InstallButtons and click Run. Six controls will appear here.</x:v>
      </x:c>
      <x:c r="F8" s="32"/>
      <x:c r="G8" s="32"/>
      <x:c r="H8" s="3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2"/>
      <x:c r="B9" s="2" t="str">
        <x:v>Signed cash amount CAD</x:v>
      </x:c>
      <x:c r="C9" s="42"/>
      <x:c r="D9" s="2"/>
      <x:c r="E9" s="32"/>
      <x:c r="F9" s="32"/>
      <x:c r="G9" s="32"/>
      <x:c r="H9" s="3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2"/>
      <x:c r="B10" s="2" t="str">
        <x:v>Description</x:v>
      </x:c>
      <x:c r="C10" s="42" t="str"/>
      <x:c r="D10" s="2"/>
      <x:c r="E10" s="32"/>
      <x:c r="F10" s="32"/>
      <x:c r="G10" s="32"/>
      <x:c r="H10" s="3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2"/>
      <x:c r="B11" s="2" t="str">
        <x:v>Source / reference</x:v>
      </x:c>
      <x:c r="C11" s="42" t="str">
        <x:v>Manual</x:v>
      </x:c>
      <x:c r="D11" s="2"/>
      <x:c r="E11" s="32"/>
      <x:c r="F11" s="32"/>
      <x:c r="G11" s="32"/>
      <x:c r="H11" s="3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2"/>
      <x:c r="C12" s="2"/>
      <x:c r="D12" s="2"/>
      <x:c r="E12" s="32"/>
      <x:c r="F12" s="32"/>
      <x:c r="G12" s="32"/>
      <x:c r="H12" s="3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2"/>
      <x:c r="C13" s="2"/>
      <x:c r="D13" s="2"/>
      <x:c r="E13" s="32"/>
      <x:c r="F13" s="32"/>
      <x:c r="G13" s="32"/>
      <x:c r="H13" s="3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33" t="str">
        <x:v>Use actual CAD settlement cash. Buys are negative; sales, contributions and dividends are positive.</x:v>
      </x:c>
      <x:c r="C14" s="33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33"/>
      <x:c r="C15" s="33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33"/>
      <x:c r="C16" s="33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33" t="str">
        <x:v>New listing? Use Add security first. For setup and a safe test example, open Automation Guide.</x:v>
      </x:c>
      <x:c r="C18" s="33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33"/>
      <x:c r="C19" s="33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1" customHeight="1">
      <x:c r="A20" s="2"/>
      <x:c r="B20" s="33"/>
      <x:c r="C20" s="33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mergeCells>
    <x:mergeCell ref="B14:C16"/>
    <x:mergeCell ref="B18:C20"/>
    <x:mergeCell ref="E5:H6"/>
    <x:mergeCell ref="E8:H13"/>
  </x:mergeCells>
  <x:dataValidations count="1">
    <x:dataValidation type="list" sqref="C7">
      <x:formula1>"BUY,SELL,DIV,CONT,NRT,REFER"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65" hidden="0" customWidth="1"/>
    <x:col min="3" max="3" width="16" hidden="0" customWidth="1"/>
    <x:col min="4" max="4" width="70" hidden="0" customWidth="1"/>
    <x:col min="5" max="5" width="10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Source reconciliation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Final cash reconciles. Intermediate source balance display differences are retained below.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15" t="str">
        <x:v>SourceFile</x:v>
      </x:c>
      <x:c r="C5" s="15" t="str">
        <x:v>SourceRow</x:v>
      </x:c>
      <x:c r="D5" s="15" t="str">
        <x:v>Issue</x:v>
      </x:c>
      <x:c r="E5" s="15" t="str">
        <x:v>Description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1" customHeight="1">
      <x:c r="A6" s="2"/>
      <x:c r="B6" s="2" t="str">
        <x:v>TFSA-monthly-statement-transactions-DEMO_CAD-2024-08-01.csv</x:v>
      </x:c>
      <x:c r="C6" s="2" t="n">
        <x:v>6</x:v>
      </x:c>
      <x:c r="D6" s="2" t="str">
        <x:v>Cash balance differs from running cash by 0.07</x:v>
      </x:c>
      <x:c r="E6" s="2" t="str">
        <x:v>Non-resident tax (executed at 2024-08-22)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1" customHeight="1">
      <x:c r="A7" s="2"/>
      <x:c r="B7" s="2" t="str">
        <x:v>TFSA-monthly-statement-transactions-DEMO_CAD-2024-10-01.csv</x:v>
      </x:c>
      <x:c r="C7" s="2" t="n">
        <x:v>11</x:v>
      </x:c>
      <x:c r="D7" s="2" t="str">
        <x:v>Cash balance differs from running cash by 0.04</x:v>
      </x:c>
      <x:c r="E7" s="2" t="str">
        <x:v>Non-resident tax (executed at 2024-10-10)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1" customHeight="1">
      <x:c r="A8" s="2"/>
      <x:c r="B8" s="2" t="str">
        <x:v>TFSA-monthly-statement-transactions-DEMO_CAD-2025-02-01.csv</x:v>
      </x:c>
      <x:c r="C8" s="2" t="n">
        <x:v>17</x:v>
      </x:c>
      <x:c r="D8" s="2" t="str">
        <x:v>Cash balance differs from running cash by -0.05</x:v>
      </x:c>
      <x:c r="E8" s="2" t="str">
        <x:v>AAPL - Apple CDR (CAD Hedged) : Cash dividend distribution, received on 2025-02-21, record date of 2025-02-10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45" t="str">
        <x:v>Applied change</x:v>
      </x:c>
      <x:c r="C14" s="45" t="str">
        <x:v>Source row</x:v>
      </x:c>
      <x:c r="D14" s="45" t="str">
        <x:v>Reason</x:v>
      </x:c>
      <x:c r="E14" s="45" t="str">
        <x:v>Evidence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2" t="str">
        <x:v>NVIDIA listing normalization</x:v>
      </x:c>
      <x:c r="C15" s="2" t="str">
        <x:v>Legacy descriptions</x:v>
      </x:c>
      <x:c r="D15" s="2" t="str">
        <x:v>Mapped to CAD hedged CDR based on split timing and transaction-unit reconciliation</x:v>
      </x:c>
      <x:c r="E15" s="2" t="str">
        <x:v>See data/normalization_log.csv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2" t="str">
        <x:v>4-for-1 split</x:v>
      </x:c>
      <x:c r="C16" s="2" t="str">
        <x:v>2024-07-10 reorganization</x:v>
      </x:c>
      <x:c r="D16" s="2" t="str">
        <x:v>1 unit became 4; aggregate cost remained CAD 120.27</x:v>
      </x:c>
      <x:c r="E16" s="2" t="str">
        <x:v>CIBC split announcement, 4 Jul 2024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2" t="str">
        <x:v>Duplicate file excluded</x:v>
      </x:c>
      <x:c r="C17" s="2" t="str">
        <x:v>November 2024</x:v>
      </x:c>
      <x:c r="D17" s="2" t="str">
        <x:v>Matching SHA-256 file hashes</x:v>
      </x:c>
      <x:c r="E17" s="2" t="str">
        <x:v>See Import Log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  <x:tableParts count="1">
    <x:tablePart xmlns:r="http://schemas.openxmlformats.org/officeDocument/2006/relationships" r:id="R457088bd26bd4ab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68" hidden="0" customWidth="1"/>
    <x:col min="3" max="3" width="16" hidden="0" customWidth="1"/>
    <x:col min="4" max="4" width="26" hidden="0" customWidth="1"/>
    <x:col min="5" max="5" width="68" hidden="0" customWidth="1"/>
    <x:col min="6" max="6" width="6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Import log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Original statements are included in raw/. Identical files are skipped by SHA-256 hash.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15" t="str">
        <x:v>File</x:v>
      </x:c>
      <x:c r="C5" s="15" t="str">
        <x:v>Rows</x:v>
      </x:c>
      <x:c r="D5" s="15" t="str">
        <x:v>Action</x:v>
      </x:c>
      <x:c r="E5" s="15" t="str">
        <x:v>DuplicateOf</x:v>
      </x:c>
      <x:c r="F5" s="15" t="str">
        <x:v>SHA256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1" customHeight="1">
      <x:c r="A6" s="2"/>
      <x:c r="B6" s="2" t="str">
        <x:v>TFSA-monthly-statement-transactions-DEMO_CAD-2024-07-01.csv</x:v>
      </x:c>
      <x:c r="C6" s="2" t="n">
        <x:v>39</x:v>
      </x:c>
      <x:c r="D6" s="2" t="str">
        <x:v>Imported</x:v>
      </x:c>
      <x:c r="E6" s="2" t="str"/>
      <x:c r="F6" s="2" t="str">
        <x:v>c047307c7893d34bbe6d56e893bece76b5b10990e96700c8485bee4b13398f98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1" customHeight="1">
      <x:c r="A7" s="2"/>
      <x:c r="B7" s="2" t="str">
        <x:v>TFSA-monthly-statement-transactions-DEMO_CAD-2024-08-01.csv</x:v>
      </x:c>
      <x:c r="C7" s="2" t="n">
        <x:v>17</x:v>
      </x:c>
      <x:c r="D7" s="2" t="str">
        <x:v>Imported</x:v>
      </x:c>
      <x:c r="E7" s="2" t="str"/>
      <x:c r="F7" s="2" t="str">
        <x:v>a26f88a0b844a2166ff995cf5630257c92f7d548d77587ba05acfe99218d40a8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1" customHeight="1">
      <x:c r="A8" s="2"/>
      <x:c r="B8" s="2" t="str">
        <x:v>TFSA-monthly-statement-transactions-DEMO_CAD-2024-09-01.csv</x:v>
      </x:c>
      <x:c r="C8" s="2" t="n">
        <x:v>17</x:v>
      </x:c>
      <x:c r="D8" s="2" t="str">
        <x:v>Imported</x:v>
      </x:c>
      <x:c r="E8" s="2" t="str"/>
      <x:c r="F8" s="2" t="str">
        <x:v>455f50d08ed5106039a840f1c5d6a750f155c470bd605738fc08bb4290ad96fe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"/>
      <x:c r="B9" s="2" t="str">
        <x:v>TFSA-monthly-statement-transactions-DEMO_CAD-2024-10-01.csv</x:v>
      </x:c>
      <x:c r="C9" s="2" t="n">
        <x:v>19</x:v>
      </x:c>
      <x:c r="D9" s="2" t="str">
        <x:v>Imported</x:v>
      </x:c>
      <x:c r="E9" s="2" t="str"/>
      <x:c r="F9" s="2" t="str">
        <x:v>d2775263af391151201a9c23a4844f9c0d20ac1776ebe50ef6443d6ea2402cbb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1" customHeight="1">
      <x:c r="A10" s="2"/>
      <x:c r="B10" s="2" t="str">
        <x:v>TFSA-monthly-statement-transactions-DEMO_CAD-2024-11-01 (1).csv</x:v>
      </x:c>
      <x:c r="C10" s="2" t="n">
        <x:v>13</x:v>
      </x:c>
      <x:c r="D10" s="2" t="str">
        <x:v>Imported</x:v>
      </x:c>
      <x:c r="E10" s="2" t="str"/>
      <x:c r="F10" s="2" t="str">
        <x:v>42f2cc829b0e91ab1cd9e50bdc44fa6d76475e8a2c7163c8a9786f2adafe25d3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1" customHeight="1">
      <x:c r="A11" s="2"/>
      <x:c r="B11" s="2" t="str">
        <x:v>TFSA-monthly-statement-transactions-DEMO_CAD-2024-11-01.csv</x:v>
      </x:c>
      <x:c r="C11" s="2" t="n">
        <x:v>13</x:v>
      </x:c>
      <x:c r="D11" s="2" t="str">
        <x:v>Skipped identical file</x:v>
      </x:c>
      <x:c r="E11" s="2" t="str">
        <x:v>TFSA-monthly-statement-transactions-DEMO_CAD-2024-11-01 (1).csv</x:v>
      </x:c>
      <x:c r="F11" s="2" t="str">
        <x:v>42f2cc829b0e91ab1cd9e50bdc44fa6d76475e8a2c7163c8a9786f2adafe25d3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1" customHeight="1">
      <x:c r="A12" s="2"/>
      <x:c r="B12" s="2" t="str">
        <x:v>TFSA-monthly-statement-transactions-DEMO_CAD-2024-12-01.csv</x:v>
      </x:c>
      <x:c r="C12" s="2" t="n">
        <x:v>11</x:v>
      </x:c>
      <x:c r="D12" s="2" t="str">
        <x:v>Imported</x:v>
      </x:c>
      <x:c r="E12" s="2" t="str"/>
      <x:c r="F12" s="2" t="str">
        <x:v>13766417c2fdddced753976376eb65bf7724d733e7006a98d7f64e22021c9507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1" customHeight="1">
      <x:c r="A13" s="2"/>
      <x:c r="B13" s="2" t="str">
        <x:v>TFSA-monthly-statement-transactions-DEMO_CAD-2025-01-01.csv</x:v>
      </x:c>
      <x:c r="C13" s="2" t="n">
        <x:v>23</x:v>
      </x:c>
      <x:c r="D13" s="2" t="str">
        <x:v>Imported</x:v>
      </x:c>
      <x:c r="E13" s="2" t="str"/>
      <x:c r="F13" s="2" t="str">
        <x:v>5dc9e93b165eb3dd0e60720e7f13b80d7db7c831659a1c3c86fd72ead404f128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1" customHeight="1">
      <x:c r="A14" s="2"/>
      <x:c r="B14" s="2" t="str">
        <x:v>TFSA-monthly-statement-transactions-DEMO_CAD-2025-02-01.csv</x:v>
      </x:c>
      <x:c r="C14" s="2" t="n">
        <x:v>39</x:v>
      </x:c>
      <x:c r="D14" s="2" t="str">
        <x:v>Imported</x:v>
      </x:c>
      <x:c r="E14" s="2" t="str"/>
      <x:c r="F14" s="2" t="str">
        <x:v>04c4745807c7d737b4f82461c207389bce9bf0818d868d71c0f04ff51397a9b1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1" customHeight="1">
      <x:c r="A15" s="2"/>
      <x:c r="B15" s="2" t="str">
        <x:v>TFSA-monthly-statement-transactions-DEMO_CAD-2025-03-01.csv</x:v>
      </x:c>
      <x:c r="C15" s="2" t="n">
        <x:v>10</x:v>
      </x:c>
      <x:c r="D15" s="2" t="str">
        <x:v>Imported</x:v>
      </x:c>
      <x:c r="E15" s="2" t="str"/>
      <x:c r="F15" s="2" t="str">
        <x:v>85321ef573dd03f6860307f08f18b507f6b97269a93712de6dd91b9cbb4bbf9f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1" customHeight="1">
      <x:c r="A16" s="2"/>
      <x:c r="B16" s="2" t="str">
        <x:v>TFSA-monthly-statement-transactions-DEMO_CAD-2025-04-01.csv</x:v>
      </x:c>
      <x:c r="C16" s="2" t="n">
        <x:v>16</x:v>
      </x:c>
      <x:c r="D16" s="2" t="str">
        <x:v>Imported</x:v>
      </x:c>
      <x:c r="E16" s="2" t="str"/>
      <x:c r="F16" s="2" t="str">
        <x:v>5f873d3141ce4f4c433a8258f52284c08058ffa840f9e7479fd01ce426660c46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1" customHeight="1">
      <x:c r="A17" s="2"/>
      <x:c r="B17" s="2" t="str">
        <x:v>TFSA-monthly-statement-transactions-DEMO_CAD-2025-05-01.csv</x:v>
      </x:c>
      <x:c r="C17" s="2" t="n">
        <x:v>7</x:v>
      </x:c>
      <x:c r="D17" s="2" t="str">
        <x:v>Imported</x:v>
      </x:c>
      <x:c r="E17" s="2" t="str"/>
      <x:c r="F17" s="2" t="str">
        <x:v>6a509ec55c0980f5206b353429e2d179d5067d08ad5d50eed336b107455d2d2d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1" customHeight="1">
      <x:c r="A18" s="2"/>
      <x:c r="B18" s="2" t="str">
        <x:v>TFSA-monthly-statement-transactions-DEMO_CAD-2025-06-01.csv</x:v>
      </x:c>
      <x:c r="C18" s="2" t="n">
        <x:v>3</x:v>
      </x:c>
      <x:c r="D18" s="2" t="str">
        <x:v>Imported</x:v>
      </x:c>
      <x:c r="E18" s="2" t="str"/>
      <x:c r="F18" s="2" t="str">
        <x:v>c53cadb47404f9afcb6e150643e14b7fe14f16043ba0be1afb7168f481364bfb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"/>
      <x:c r="B19" s="2" t="str">
        <x:v>TFSA-monthly-statement-transactions-DEMO_CAD-2025-07-01.csv</x:v>
      </x:c>
      <x:c r="C19" s="2" t="n">
        <x:v>11</x:v>
      </x:c>
      <x:c r="D19" s="2" t="str">
        <x:v>Imported</x:v>
      </x:c>
      <x:c r="E19" s="2" t="str"/>
      <x:c r="F19" s="2" t="str">
        <x:v>43faf4b92725063dc301b714c2c0e59bef043a2a6b4ba15a23cd6b62209d44d3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1" customHeight="1">
      <x:c r="A20" s="2"/>
      <x:c r="B20" s="2" t="str">
        <x:v>TFSA-monthly-statement-transactions-DEMO_CAD-2025-08-01.csv</x:v>
      </x:c>
      <x:c r="C20" s="2" t="n">
        <x:v>16</x:v>
      </x:c>
      <x:c r="D20" s="2" t="str">
        <x:v>Imported</x:v>
      </x:c>
      <x:c r="E20" s="2" t="str"/>
      <x:c r="F20" s="2" t="str">
        <x:v>cec8e645d156eb5dc6c626c0784eb82b63269320e86976bb965250158c64c74d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1" customHeight="1">
      <x:c r="A21" s="2"/>
      <x:c r="B21" s="2" t="str">
        <x:v>TFSA-monthly-statement-transactions-DEMO_CAD-2025-09-01.csv</x:v>
      </x:c>
      <x:c r="C21" s="2" t="n">
        <x:v>6</x:v>
      </x:c>
      <x:c r="D21" s="2" t="str">
        <x:v>Imported</x:v>
      </x:c>
      <x:c r="E21" s="2" t="str"/>
      <x:c r="F21" s="2" t="str">
        <x:v>d9f757c55e8291f6c4ae968d6087c0b7bedbeb598dc02546e710348ee069e8a5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1" customHeight="1">
      <x:c r="A22" s="2"/>
      <x:c r="B22" s="2" t="str">
        <x:v>TFSA-monthly-statement-transactions-DEMO_CAD-2025-10-01.csv</x:v>
      </x:c>
      <x:c r="C22" s="2" t="n">
        <x:v>22</x:v>
      </x:c>
      <x:c r="D22" s="2" t="str">
        <x:v>Imported</x:v>
      </x:c>
      <x:c r="E22" s="2" t="str"/>
      <x:c r="F22" s="2" t="str">
        <x:v>6717b944e0eca9f86c8e729c2dd6fe898a737be1c07de188a4ccb842508aa194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  <x:tableParts count="1">
    <x:tablePart xmlns:r="http://schemas.openxmlformats.org/officeDocument/2006/relationships" r:id="R34d9d22b24b848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9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Automation setup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Set up once in Windows desktop Excel. Keep the extracted project folders together.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2" customHeight="1">
      <x:c r="A5" s="2"/>
      <x:c r="B5" s="46" t="str">
        <x:v>Start here</x:v>
      </x:c>
      <x:c r="C5" s="33" t="str">
        <x:v>If you can already see six buttons on Add Transaction, skip setup and go to Adding money below.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customHeight="1">
      <x:c r="A6" s="2"/>
      <x:c r="B6" s="47" t="str">
        <x:v>SETUP</x:v>
      </x:c>
      <x:c r="C6" s="48" t="str">
        <x:v>Do this once for each new workbook.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customHeight="1">
      <x:c r="A7" s="2"/>
      <x:c r="B7" s="46" t="str">
        <x:v>1. Extract the folder</x:v>
      </x:c>
      <x:c r="C7" s="33" t="str">
        <x:v>Right click the ZIP and choose Extract All. Open the folder containing python, data and vba.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customHeight="1">
      <x:c r="A8" s="2"/>
      <x:c r="B8" s="46" t="str">
        <x:v>2. Save the workbook</x:v>
      </x:c>
      <x:c r="C8" s="33" t="str">
        <x:v>Open the Excel file. Choose File, Save As, then Excel Macro Enabled Workbook (.xlsm). Save beside those folders.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customHeight="1">
      <x:c r="A9" s="2"/>
      <x:c r="B9" s="46" t="str">
        <x:v>3. Import the code</x:v>
      </x:c>
      <x:c r="C9" s="33" t="str">
        <x:v>Choose Developer, Visual Basic, then File, Import File. Open the vba folder and select PortfolioAutomation.bas.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customHeight="1">
      <x:c r="A10" s="2"/>
      <x:c r="B10" s="46" t="str">
        <x:v>4. Add the buttons</x:v>
      </x:c>
      <x:c r="C10" s="33" t="str">
        <x:v>Return to Excel. Choose Developer, Macros. Select InstallButtons and click Run. Save the workbook.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customHeight="1">
      <x:c r="A11" s="2"/>
      <x:c r="B11" s="46" t="str">
        <x:v>5. Check Python</x:v>
      </x:c>
      <x:c r="C11" s="33" t="str">
        <x:v>Price updates need Python 3.10 or later. Read Me G5 should contain the command that works on your computer: python or py -3.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customHeight="1">
      <x:c r="A12" s="2"/>
      <x:c r="B12" s="47" t="str">
        <x:v>ADDING MONEY</x:v>
      </x:c>
      <x:c r="C12" s="48" t="str">
        <x:v>Use this for a contribution to the account.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customHeight="1">
      <x:c r="A13" s="2"/>
      <x:c r="B13" s="46" t="str">
        <x:v>1. Open the form</x:v>
      </x:c>
      <x:c r="C13" s="33" t="str">
        <x:v>Click the Add Transaction sheet.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customHeight="1">
      <x:c r="A14" s="2"/>
      <x:c r="B14" s="46" t="str">
        <x:v>2. Fill in the fields</x:v>
      </x:c>
      <x:c r="C14" s="33" t="str">
        <x:v>Enter the date. Choose CONT. Leave SecurityID and quantity blank. Enter the money added as a positive CAD amount.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customHeight="1">
      <x:c r="A15" s="2"/>
      <x:c r="B15" s="46" t="str">
        <x:v>3. Add the entry</x:v>
      </x:c>
      <x:c r="C15" s="33" t="str">
        <x:v>Click Add transaction. Wait for the update, then check Dashboard.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customHeight="1">
      <x:c r="A16" s="2"/>
      <x:c r="B16" s="47" t="str">
        <x:v>BUYING AN INVESTMENT</x:v>
      </x:c>
      <x:c r="C16" s="48" t="str">
        <x:v>Use the actual trade details from the statement.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customHeight="1">
      <x:c r="A17" s="2"/>
      <x:c r="B17" s="46" t="str">
        <x:v>1. Choose the investment</x:v>
      </x:c>
      <x:c r="C17" s="33" t="str">
        <x:v>Select its SecurityID from the dropdown on Add Transaction.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customHeight="1">
      <x:c r="A18" s="2"/>
      <x:c r="B18" s="46" t="str">
        <x:v>2. Enter the purchase</x:v>
      </x:c>
      <x:c r="C18" s="33" t="str">
        <x:v>Enter the date. Choose BUY. Enter the units purchased and the total CAD cash spent as a negative number.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customHeight="1">
      <x:c r="A19" s="2"/>
      <x:c r="B19" s="46" t="str">
        <x:v>3. Save the purchase</x:v>
      </x:c>
      <x:c r="C19" s="33" t="str">
        <x:v>Click Add transaction. Example: two units costing CAD 90 in total means quantity 2 and cash -90.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customHeight="1">
      <x:c r="A20" s="2"/>
      <x:c r="B20" s="47" t="str">
        <x:v>SELLING AN INVESTMENT</x:v>
      </x:c>
      <x:c r="C20" s="48" t="str">
        <x:v>Record a sale instead of deleting its history.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customHeight="1">
      <x:c r="A21" s="2"/>
      <x:c r="B21" s="46" t="str">
        <x:v>1. Enter the sale</x:v>
      </x:c>
      <x:c r="C21" s="33" t="str">
        <x:v>Choose the investment and date. Select SELL. Enter the units sold and net CAD proceeds as a positive number.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customHeight="1">
      <x:c r="A22" s="2"/>
      <x:c r="B22" s="46" t="str">
        <x:v>2. Add the entry</x:v>
      </x:c>
      <x:c r="C22" s="33" t="str">
        <x:v>Click Add transaction. A full sale removes it from open holdings. A partial sale leaves the remaining units.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2" customHeight="1">
      <x:c r="A23" s="2"/>
      <x:c r="B23" s="47" t="str">
        <x:v>ADDING A NEW INVESTMENT</x:v>
      </x:c>
      <x:c r="C23" s="48" t="str">
        <x:v>Do this before entering its first purchase.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2" customHeight="1">
      <x:c r="A24" s="2"/>
      <x:c r="B24" s="46" t="str">
        <x:v>1. Add its details</x:v>
      </x:c>
      <x:c r="C24" s="33" t="str">
        <x:v>Click Add security. Follow the prompts for its ID, name, exchange, currency and provider symbol.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2" customHeight="1">
      <x:c r="A25" s="2"/>
      <x:c r="B25" s="46" t="str">
        <x:v>2. Record the purchase</x:v>
      </x:c>
      <x:c r="C25" s="33" t="str">
        <x:v>Once the investment is added, return to the form and enter a BUY transaction.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2" customHeight="1">
      <x:c r="A26" s="2"/>
      <x:c r="B26" s="47" t="str">
        <x:v>UPDATING PRICES</x:v>
      </x:c>
      <x:c r="C26" s="48" t="str">
        <x:v>Click Refresh prices. Wait for the message before using the workbook.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2" customHeight="1">
      <x:c r="A27" s="2"/>
      <x:c r="B27" s="47" t="str">
        <x:v>CHECKING YOUR SETUP</x:v>
      </x:c>
      <x:c r="C27" s="48" t="str">
        <x:v>Use a separate test copy so the original records stay unchanged.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2" customHeight="1">
      <x:c r="A28" s="2"/>
      <x:c r="B28" s="46" t="str">
        <x:v>1. Try a contribution</x:v>
      </x:c>
      <x:c r="C28" s="33" t="str">
        <x:v>In the test copy, enter date 2025-11-01, type CONT and cash 100. Leave the investment and quantity blank.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2" customHeight="1">
      <x:c r="A29" s="2"/>
      <x:c r="B29" s="46" t="str">
        <x:v>2. Check the result</x:v>
      </x:c>
      <x:c r="C29" s="33" t="str">
        <x:v>Contributions should become CAD 19,575 and recorded cash CAD 686.35. Discard the test copy afterwards.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2" customHeight="1">
      <x:c r="A30" s="2"/>
      <x:c r="B30" s="46" t="str">
        <x:v>If something stops</x:v>
      </x:c>
      <x:c r="C30" s="33" t="str">
        <x:v>Read the message first. Price updates need Python, internet access and the original folder layout.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2" customHeight="1">
      <x:c r="A31" s="2"/>
      <x:c r="B31" s="46" t="str">
        <x:v>More help</x:v>
      </x:c>
      <x:c r="C31" s="33" t="str">
        <x:v>docs/VBA_GUIDE.md contains these steps and examples. The VBA still needs a test in desktop Excel.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1" customHeight="1">
      <x:c r="A2" s="2"/>
      <x:c r="B2" s="11" t="str">
        <x:v>Start here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1" customHeight="1">
      <x:c r="A3" s="2"/>
      <x:c r="B3" s="12" t="str">
        <x:v>Workbook, Python and VBA are delivered together. Extract the ZIP before use.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 t="str">
        <x:v>Data origin</x:v>
      </x:c>
      <x:c r="C5" s="33" t="str">
        <x:v>Third party brokerage statements. No personal ownership claim.</x:v>
      </x:c>
      <x:c r="D5" s="2"/>
      <x:c r="E5" s="2"/>
      <x:c r="F5" s="2" t="str">
        <x:v>Python launcher</x:v>
      </x:c>
      <x:c r="G5" s="19" t="str">
        <x:v>python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2"/>
      <x:c r="B6" s="2" t="str">
        <x:v>Transaction coverage</x:v>
      </x:c>
      <x:c r="C6" s="33" t="str">
        <x:v>269 records, 16 unique statements, July 2024 to October 2025.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2"/>
      <x:c r="B7" s="2" t="str">
        <x:v>Current quotes</x:v>
      </x:c>
      <x:c r="C7" s="33" t="str">
        <x:v>All 16 open positions have retrieved quotes. Closed positions require no price.</x:v>
      </x:c>
      <x:c r="D7" s="2"/>
      <x:c r="E7" s="2"/>
      <x:c r="F7" s="2" t="str">
        <x:v>Use python, py -3, or a quoted full Python executable path.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2"/>
      <x:c r="B8" s="2" t="str">
        <x:v>Quote source</x:v>
      </x:c>
      <x:c r="C8" s="33" t="str">
        <x:v>Yahoo Finance public chart endpoint. Prices may be delayed; timestamps are stored.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2"/>
      <x:c r="B9" s="2" t="str">
        <x:v>Python cleaner</x:v>
      </x:c>
      <x:c r="C9" s="33" t="str">
        <x:v>python/clean_transactions.py combines raw CSVs and records normalization changes.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2"/>
      <x:c r="B10" s="2" t="str">
        <x:v>Python prices</x:v>
      </x:c>
      <x:c r="C10" s="33" t="str">
        <x:v>python/refresh_prices.py retrieves specific listing quotes and CAD conversion rates.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2"/>
      <x:c r="B11" s="2" t="str">
        <x:v>VBA source</x:v>
      </x:c>
      <x:c r="C11" s="33" t="str">
        <x:v>vba/PortfolioAutomation.bas. Install once using Automation Guide.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2"/>
      <x:c r="B12" s="2" t="str">
        <x:v>Refresh prices</x:v>
      </x:c>
      <x:c r="C12" s="33" t="str">
        <x:v>Runs Python, validates the listing and currency, imports quotes, recalculates and updates charts.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2"/>
      <x:c r="B13" s="2" t="str">
        <x:v>New transaction</x:v>
      </x:c>
      <x:c r="C13" s="33" t="str">
        <x:v>Use Add Transaction. Cash entries use signed CAD amounts. Buys are negative; sales and dividends positive.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2"/>
      <x:c r="B14" s="2" t="str">
        <x:v>New investment</x:v>
      </x:c>
      <x:c r="C14" s="33" t="str">
        <x:v>Run AddSecurity. Enter exact provider symbol and expected name token. Excel Stocks search is not used.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2"/>
      <x:c r="B15" s="2" t="str">
        <x:v>NVIDIA correction</x:v>
      </x:c>
      <x:c r="C15" s="33" t="str">
        <x:v>Legacy Nvidia Corp descriptions map to the CDR. The issuer-confirmed July 2024 split adds three units without changing cost.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2"/>
      <x:c r="B16" s="2" t="str">
        <x:v>Correction evidence</x:v>
      </x:c>
      <x:c r="C16" s="33" t="str">
        <x:v>CIBC: https://cibc.mediaroom.com/2024-07-04-CIBC-Announces-Nvidia-Canadian-Depositary-Receipts-Split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2"/>
      <x:c r="B17" s="2" t="str">
        <x:v>Audit trail</x:v>
      </x:c>
      <x:c r="C17" s="33" t="str">
        <x:v>data/normalization_log.csv records source rows, changes and evidence. Raw descriptions remain unchanged.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2"/>
      <x:c r="B18" s="2" t="str">
        <x:v>Cost basis</x:v>
      </x:c>
      <x:c r="C18" s="33" t="str">
        <x:v>Chronological moving average in CAD settlement amounts. Split changes units, not total cost.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2"/>
      <x:c r="B19" s="2" t="str">
        <x:v>Cash reconciliation</x:v>
      </x:c>
      <x:c r="C19" s="33" t="str">
        <x:v>Final statement cash equals cumulative transactions: CAD 586.35. Three intermediate display differences are documented.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2"/>
      <x:c r="B20" s="2" t="str">
        <x:v>Quote freshness</x:v>
      </x:c>
      <x:c r="C20" s="33" t="str">
        <x:v>Quotes and FX older than seven days are not accepted for complete valuation.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2"/>
      <x:c r="B21" s="2" t="str">
        <x:v>Closed positions</x:v>
      </x:c>
      <x:c r="C21" s="33" t="str">
        <x:v>Retained in Securities and transaction history. Excluded from open holdings and quote requests.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2"/>
      <x:c r="B22" s="2" t="str">
        <x:v>Performance definition</x:v>
      </x:c>
      <x:c r="C22" s="33" t="str">
        <x:v>Total gain is case study value less net contributions, including income, referral credit and tax effects.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2"/>
      <x:c r="B23" s="2" t="str">
        <x:v>Valuation date</x:v>
      </x:c>
      <x:c r="C23" s="33" t="str">
        <x:v>Latest retrieved quotes are applied to recorded historical holdings and cash. No later transactions are assumed.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2"/>
      <x:c r="B24" s="2" t="str">
        <x:v>Imports</x:v>
      </x:c>
      <x:c r="C24" s="33" t="str">
        <x:v>Cleaner output is imported by RecordID. Existing IDs are skipped; backdated additions require deliberate review.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2"/>
      <x:c r="B25" s="2" t="str">
        <x:v>Testing</x:v>
      </x:c>
      <x:c r="C25" s="33" t="str">
        <x:v>Python, quote validation and formulas tested. Native VBA still requires desktop Excel execution.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2"/>
      <x:c r="B26" s="2" t="str">
        <x:v>Dependencies</x:v>
      </x:c>
      <x:c r="C26" s="33" t="str">
        <x:v>Windows desktop Excel and Python 3.10+. No pip packages required.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2"/>
      <x:c r="B27" s="2" t="str">
        <x:v>Source files</x:v>
      </x:c>
      <x:c r="C27" s="33" t="str">
        <x:v>raw/ preserves CSV contents; account identifier removed from filenames.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2"/>
      <x:c r="B28" s="2" t="str">
        <x:v>Repository files</x:v>
      </x:c>
      <x:c r="C28" s="33" t="str">
        <x:v>README.md, docs/VBA_GUIDE.md, docs/METHODOLOGY.md, tests and source code are included.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1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1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1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1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1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1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1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1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1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1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1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1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1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1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1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1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1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1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1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2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2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2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2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2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2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2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2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2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2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2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2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2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2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2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2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2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2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2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2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2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2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2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2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2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2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2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2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2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2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2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2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2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2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2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2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2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2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2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2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2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2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2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2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2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2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2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2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2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2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2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2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2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2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2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2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2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2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2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2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2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2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2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2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2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2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2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2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2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2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2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2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2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2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2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2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2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2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2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2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2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2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2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2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2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2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2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2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2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2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2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2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2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2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2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2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2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2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2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2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2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2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2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2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2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2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2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2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2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2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2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2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2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2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2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2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2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2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2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2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2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2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2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2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2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2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2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2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2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2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2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2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2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2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2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2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2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2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2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2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2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2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2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2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2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2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2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2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2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2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2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2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2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2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2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2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2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2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2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2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2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2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2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2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2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2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2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2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2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2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2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2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2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2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2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2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</x:sheetData>
  <x:pageMargins left="0.7" right="0.7" top="0.75" bottom="0.75" header="0.3" footer="0.3"/>
</x:worksheet>
</file>